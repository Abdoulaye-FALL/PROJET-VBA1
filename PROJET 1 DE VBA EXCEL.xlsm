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IP\Desktop\"/>
    </mc:Choice>
  </mc:AlternateContent>
  <xr:revisionPtr revIDLastSave="0" documentId="13_ncr:1_{B5BBDA23-3479-439B-A817-E4AF8F19DF29}" xr6:coauthVersionLast="36" xr6:coauthVersionMax="36" xr10:uidLastSave="{00000000-0000-0000-0000-000000000000}"/>
  <bookViews>
    <workbookView xWindow="0" yWindow="0" windowWidth="20490" windowHeight="7155" activeTab="1" xr2:uid="{00000000-000D-0000-FFFF-FFFF00000000}"/>
  </bookViews>
  <sheets>
    <sheet name="A" sheetId="1" r:id="rId1"/>
    <sheet name="Feuil1" sheetId="6" r:id="rId2"/>
    <sheet name="SOLVEUR" sheetId="9" r:id="rId3"/>
    <sheet name="DONNEES des entreprises" sheetId="8" r:id="rId4"/>
    <sheet name="B" sheetId="2" r:id="rId5"/>
    <sheet name="C" sheetId="3" r:id="rId6"/>
    <sheet name="D" sheetId="4" r:id="rId7"/>
    <sheet name="E" sheetId="5" r:id="rId8"/>
  </sheets>
  <functionGroups builtInGroupCount="19"/>
  <definedNames>
    <definedName name="_xlnm._FilterDatabase" localSheetId="0" hidden="1">A!$A$1:$H$21</definedName>
    <definedName name="_xlnm._FilterDatabase" localSheetId="4" hidden="1">B!$A$1:$H$21</definedName>
    <definedName name="_xlnm._FilterDatabase" localSheetId="5" hidden="1">'C'!$A$1:$H$21</definedName>
    <definedName name="_xlnm._FilterDatabase" localSheetId="6" hidden="1">D!$A$1:$H$21</definedName>
    <definedName name="_xlnm._FilterDatabase" localSheetId="7" hidden="1">E!$A$1:$H$21</definedName>
    <definedName name="_xlnm._FilterDatabase" localSheetId="1" hidden="1">Feuil1!$A$1:$E$21</definedName>
    <definedName name="solver_adj" localSheetId="2" hidden="1">SOLVEUR!$A$36,SOLVEUR!$B$36,SOLVEUR!$C$36,SOLVEUR!$D$36,SOLVEUR!$E$36,SOLVEUR!$F$36,SOLVEUR!$G$36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SOLVEUR!$H$36</definedName>
    <definedName name="solver_pre" localSheetId="2" hidden="1">0.000001</definedName>
    <definedName name="solver_rbv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2.99</definedName>
    <definedName name="solver_ver" localSheetId="2" hidden="1">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4" l="1"/>
  <c r="H5" i="4"/>
  <c r="H7" i="4"/>
  <c r="H9" i="4"/>
  <c r="H11" i="4"/>
  <c r="H13" i="4"/>
  <c r="H15" i="4"/>
  <c r="H17" i="4"/>
  <c r="H19" i="4"/>
  <c r="H21" i="4"/>
  <c r="H4" i="4"/>
  <c r="H6" i="4"/>
  <c r="H8" i="4"/>
  <c r="H10" i="4"/>
  <c r="H12" i="4"/>
  <c r="H14" i="4"/>
  <c r="H16" i="4"/>
  <c r="H18" i="4"/>
  <c r="H20" i="4"/>
  <c r="H2" i="4"/>
  <c r="H3" i="3"/>
  <c r="H5" i="3"/>
  <c r="H7" i="3"/>
  <c r="H9" i="3"/>
  <c r="H11" i="3"/>
  <c r="H13" i="3"/>
  <c r="H15" i="3"/>
  <c r="H17" i="3"/>
  <c r="H19" i="3"/>
  <c r="H4" i="3"/>
  <c r="H6" i="3"/>
  <c r="H8" i="3"/>
  <c r="H10" i="3"/>
  <c r="H12" i="3"/>
  <c r="H14" i="3"/>
  <c r="H16" i="3"/>
  <c r="H18" i="3"/>
  <c r="H20" i="3"/>
  <c r="H21" i="3"/>
  <c r="H2" i="3"/>
  <c r="H3" i="2"/>
  <c r="H5" i="2"/>
  <c r="H7" i="2"/>
  <c r="H9" i="2"/>
  <c r="H11" i="2"/>
  <c r="H13" i="2"/>
  <c r="H15" i="2"/>
  <c r="H17" i="2"/>
  <c r="H19" i="2"/>
  <c r="H21" i="2"/>
  <c r="H4" i="2"/>
  <c r="H6" i="2"/>
  <c r="H8" i="2"/>
  <c r="H10" i="2"/>
  <c r="H12" i="2"/>
  <c r="H14" i="2"/>
  <c r="H16" i="2"/>
  <c r="H18" i="2"/>
  <c r="H20" i="2"/>
  <c r="H2" i="2"/>
  <c r="D15" i="6"/>
  <c r="D19" i="6"/>
  <c r="D14" i="6"/>
  <c r="D18" i="6"/>
  <c r="D2" i="6"/>
  <c r="D6" i="6"/>
  <c r="D10" i="6"/>
  <c r="D5" i="6"/>
  <c r="D9" i="6"/>
  <c r="D12" i="6"/>
  <c r="C4" i="6"/>
  <c r="C8" i="6"/>
  <c r="C3" i="6"/>
  <c r="C7" i="6"/>
  <c r="C11" i="6"/>
  <c r="C13" i="6"/>
  <c r="C17" i="6"/>
  <c r="C14" i="6"/>
  <c r="C18" i="6"/>
  <c r="C12" i="6"/>
  <c r="B18" i="6"/>
  <c r="B19" i="6"/>
  <c r="B4" i="6"/>
  <c r="B8" i="6"/>
  <c r="B12" i="6"/>
  <c r="B16" i="6"/>
  <c r="B7" i="6"/>
  <c r="B11" i="6"/>
  <c r="B15" i="6"/>
  <c r="B3" i="6"/>
  <c r="D13" i="6"/>
  <c r="D17" i="6"/>
  <c r="D21" i="6"/>
  <c r="D16" i="6"/>
  <c r="D20" i="6"/>
  <c r="D4" i="6"/>
  <c r="D8" i="6"/>
  <c r="D3" i="6"/>
  <c r="D7" i="6"/>
  <c r="D11" i="6"/>
  <c r="C2" i="6"/>
  <c r="C6" i="6"/>
  <c r="C10" i="6"/>
  <c r="C5" i="6"/>
  <c r="C9" i="6"/>
  <c r="C21" i="6"/>
  <c r="C15" i="6"/>
  <c r="C19" i="6"/>
  <c r="C16" i="6"/>
  <c r="C20" i="6"/>
  <c r="B2" i="6"/>
  <c r="B20" i="6"/>
  <c r="B21" i="6"/>
  <c r="B6" i="6"/>
  <c r="B10" i="6"/>
  <c r="B14" i="6"/>
  <c r="B5" i="6"/>
  <c r="B9" i="6"/>
  <c r="B13" i="6"/>
  <c r="B17" i="6"/>
  <c r="H3" i="1"/>
  <c r="H5" i="1"/>
  <c r="H9" i="1"/>
  <c r="H13" i="1"/>
  <c r="H17" i="1"/>
  <c r="H21" i="1"/>
  <c r="H6" i="1"/>
  <c r="H10" i="1"/>
  <c r="H14" i="1"/>
  <c r="H18" i="1"/>
  <c r="H2" i="1"/>
  <c r="A11" i="6"/>
  <c r="A19" i="6"/>
  <c r="A12" i="6"/>
  <c r="A20" i="6"/>
  <c r="A6" i="6"/>
  <c r="A13" i="6"/>
  <c r="A21" i="6"/>
  <c r="A14" i="6"/>
  <c r="A3" i="6"/>
  <c r="A2" i="6"/>
  <c r="H7" i="1"/>
  <c r="H11" i="1"/>
  <c r="H15" i="1"/>
  <c r="H19" i="1"/>
  <c r="H4" i="1"/>
  <c r="H8" i="1"/>
  <c r="H12" i="1"/>
  <c r="H16" i="1"/>
  <c r="H20" i="1"/>
  <c r="A7" i="6"/>
  <c r="A15" i="6"/>
  <c r="A8" i="6"/>
  <c r="A16" i="6"/>
  <c r="A5" i="6"/>
  <c r="A9" i="6"/>
  <c r="A17" i="6"/>
  <c r="A10" i="6"/>
  <c r="A18" i="6"/>
  <c r="A4" i="6"/>
  <c r="H34" i="9"/>
  <c r="H36" i="9"/>
  <c r="H35" i="9"/>
  <c r="H33" i="9"/>
  <c r="H5" i="5"/>
  <c r="H9" i="5"/>
  <c r="H13" i="5"/>
  <c r="H17" i="5"/>
  <c r="H21" i="5"/>
  <c r="H6" i="5"/>
  <c r="H10" i="5"/>
  <c r="H14" i="5"/>
  <c r="H18" i="5"/>
  <c r="H2" i="5"/>
  <c r="E8" i="6"/>
  <c r="E10" i="6"/>
  <c r="E18" i="6"/>
  <c r="E15" i="6"/>
  <c r="E9" i="6"/>
  <c r="E6" i="6"/>
  <c r="E7" i="6"/>
  <c r="E16" i="6"/>
  <c r="E13" i="6"/>
  <c r="E21" i="6"/>
  <c r="H3" i="5"/>
  <c r="H7" i="5"/>
  <c r="H11" i="5"/>
  <c r="H15" i="5"/>
  <c r="H19" i="5"/>
  <c r="H4" i="5"/>
  <c r="H8" i="5"/>
  <c r="H12" i="5"/>
  <c r="H16" i="5"/>
  <c r="H20" i="5"/>
  <c r="E4" i="6"/>
  <c r="E5" i="6"/>
  <c r="E14" i="6"/>
  <c r="E11" i="6"/>
  <c r="E19" i="6"/>
  <c r="E2" i="6"/>
  <c r="E3" i="6"/>
  <c r="E12" i="6"/>
  <c r="E20" i="6"/>
  <c r="E17" i="6"/>
  <c r="Q3" i="9"/>
  <c r="Q5" i="9"/>
  <c r="Q7" i="9"/>
  <c r="Q11" i="9"/>
  <c r="Q13" i="9"/>
  <c r="Q15" i="9"/>
  <c r="Q17" i="9"/>
  <c r="Q21" i="9"/>
  <c r="Q23" i="9"/>
  <c r="Q25" i="9"/>
  <c r="Q29" i="9"/>
  <c r="Q31" i="9"/>
  <c r="Q33" i="9"/>
  <c r="Q37" i="9"/>
  <c r="Q39" i="9"/>
  <c r="Q41" i="9"/>
  <c r="Q43" i="9"/>
  <c r="Q45" i="9"/>
  <c r="Q4" i="9"/>
  <c r="Q6" i="9"/>
  <c r="Q8" i="9"/>
  <c r="Q12" i="9"/>
  <c r="Q14" i="9"/>
  <c r="Q16" i="9"/>
  <c r="Q20" i="9"/>
  <c r="Q22" i="9"/>
  <c r="Q24" i="9"/>
  <c r="Q26" i="9"/>
  <c r="Q30" i="9"/>
  <c r="Q32" i="9"/>
  <c r="Q34" i="9"/>
  <c r="Q38" i="9"/>
  <c r="Q40" i="9"/>
  <c r="Q42" i="9"/>
  <c r="Q44" i="9"/>
  <c r="Q46" i="9"/>
  <c r="Q2" i="9"/>
  <c r="H3" i="9"/>
  <c r="H7" i="9"/>
  <c r="H13" i="9"/>
  <c r="H19" i="9"/>
  <c r="H25" i="9"/>
  <c r="H29" i="9"/>
  <c r="H6" i="9"/>
  <c r="H12" i="9"/>
  <c r="H18" i="9"/>
  <c r="H22" i="9"/>
  <c r="H28" i="9"/>
  <c r="H5" i="9"/>
  <c r="H11" i="9"/>
  <c r="H15" i="9"/>
  <c r="H21" i="9"/>
  <c r="H27" i="9"/>
  <c r="H4" i="9"/>
  <c r="H8" i="9"/>
  <c r="H14" i="9"/>
  <c r="H20" i="9"/>
  <c r="H26" i="9"/>
  <c r="H2" i="9"/>
  <c r="G2" i="6" l="1"/>
  <c r="O22" i="6"/>
  <c r="O20" i="6"/>
  <c r="O21" i="6"/>
  <c r="G4" i="6"/>
  <c r="G3" i="6"/>
  <c r="G18" i="6"/>
  <c r="G14" i="6"/>
  <c r="G10" i="6"/>
  <c r="G21" i="6"/>
  <c r="G17" i="6"/>
  <c r="G13" i="6"/>
  <c r="G9" i="6"/>
  <c r="G6" i="6"/>
  <c r="G5" i="6"/>
  <c r="G20" i="6"/>
  <c r="G16" i="6"/>
  <c r="G12" i="6"/>
  <c r="G8" i="6"/>
  <c r="G19" i="6"/>
  <c r="G15" i="6"/>
  <c r="G11" i="6"/>
  <c r="G7" i="6"/>
  <c r="H17" i="6"/>
  <c r="H13" i="6"/>
  <c r="H9" i="6"/>
  <c r="H5" i="6"/>
  <c r="H14" i="6"/>
  <c r="H10" i="6"/>
  <c r="H6" i="6"/>
  <c r="H21" i="6"/>
  <c r="H20" i="6"/>
  <c r="H2" i="6"/>
  <c r="I20" i="6"/>
  <c r="I16" i="6"/>
  <c r="I19" i="6"/>
  <c r="I15" i="6"/>
  <c r="I21" i="6"/>
  <c r="I9" i="6"/>
  <c r="I5" i="6"/>
  <c r="I10" i="6"/>
  <c r="I6" i="6"/>
  <c r="I2" i="6"/>
  <c r="J11" i="6"/>
  <c r="J7" i="6"/>
  <c r="J3" i="6"/>
  <c r="J8" i="6"/>
  <c r="J4" i="6"/>
  <c r="J20" i="6"/>
  <c r="J16" i="6"/>
  <c r="J21" i="6"/>
  <c r="J17" i="6"/>
  <c r="J13" i="6"/>
  <c r="K21" i="6"/>
  <c r="K17" i="6"/>
  <c r="K13" i="6"/>
  <c r="K20" i="6"/>
  <c r="K16" i="6"/>
  <c r="K12" i="6"/>
  <c r="K7" i="6"/>
  <c r="K3" i="6"/>
  <c r="K6" i="6"/>
  <c r="K2" i="6"/>
  <c r="H3" i="6"/>
  <c r="H15" i="6"/>
  <c r="H11" i="6"/>
  <c r="H7" i="6"/>
  <c r="H16" i="6"/>
  <c r="H12" i="6"/>
  <c r="H8" i="6"/>
  <c r="H4" i="6"/>
  <c r="H19" i="6"/>
  <c r="H18" i="6"/>
  <c r="I12" i="6"/>
  <c r="I18" i="6"/>
  <c r="I14" i="6"/>
  <c r="I17" i="6"/>
  <c r="I13" i="6"/>
  <c r="I11" i="6"/>
  <c r="I7" i="6"/>
  <c r="I3" i="6"/>
  <c r="I8" i="6"/>
  <c r="I4" i="6"/>
  <c r="J12" i="6"/>
  <c r="J9" i="6"/>
  <c r="J5" i="6"/>
  <c r="J10" i="6"/>
  <c r="J6" i="6"/>
  <c r="J2" i="6"/>
  <c r="J18" i="6"/>
  <c r="J14" i="6"/>
  <c r="J19" i="6"/>
  <c r="J15" i="6"/>
  <c r="K9" i="6"/>
  <c r="K19" i="6"/>
  <c r="K15" i="6"/>
  <c r="K11" i="6"/>
  <c r="K18" i="6"/>
  <c r="K14" i="6"/>
  <c r="K10" i="6"/>
  <c r="K5" i="6"/>
  <c r="K8" i="6"/>
  <c r="K4" i="6"/>
</calcChain>
</file>

<file path=xl/sharedStrings.xml><?xml version="1.0" encoding="utf-8"?>
<sst xmlns="http://schemas.openxmlformats.org/spreadsheetml/2006/main" count="201" uniqueCount="17">
  <si>
    <t>CC</t>
  </si>
  <si>
    <t>PR</t>
  </si>
  <si>
    <t>TA</t>
  </si>
  <si>
    <t>PFI</t>
  </si>
  <si>
    <t>CB</t>
  </si>
  <si>
    <t>VCP</t>
  </si>
  <si>
    <t>V</t>
  </si>
  <si>
    <t>zoneB</t>
  </si>
  <si>
    <t>zoneC</t>
  </si>
  <si>
    <t>zoneD</t>
  </si>
  <si>
    <t>zoneE</t>
  </si>
  <si>
    <t>zoneA</t>
  </si>
  <si>
    <t>incertitude</t>
  </si>
  <si>
    <t>Rejetes</t>
  </si>
  <si>
    <t>Acceptes</t>
  </si>
  <si>
    <t>score Z</t>
  </si>
  <si>
    <t>Score 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</si>
</sst>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/>
  </cellXfs>
  <cellStyles count="1">
    <cellStyle name="Normal" xfId="0" builtinId="0"/>
  </cellStyles>
  <dxfs count="3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50"/>
      <c:rotY val="130"/>
      <c:depthPercent val="100"/>
      <c:rAngAx val="0"/>
      <c:perspective val="6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8333333333333334E-2"/>
          <c:y val="0.21337962962962964"/>
          <c:w val="0.94166666666666665"/>
          <c:h val="0.67608741615631374"/>
        </c:manualLayout>
      </c:layout>
      <c:pie3DChart>
        <c:varyColors val="1"/>
        <c:ser>
          <c:idx val="0"/>
          <c:order val="0"/>
          <c:spPr>
            <a:solidFill>
              <a:srgbClr val="00B050"/>
            </a:solidFill>
          </c:spPr>
          <c:explosion val="7"/>
          <c:dPt>
            <c:idx val="0"/>
            <c:bubble3D val="0"/>
            <c:explosion val="18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3-128D-4C0B-AED5-632659CDDCBA}"/>
              </c:ext>
            </c:extLst>
          </c:dPt>
          <c:dPt>
            <c:idx val="1"/>
            <c:bubble3D val="0"/>
            <c:explosion val="15"/>
            <c:spPr>
              <a:solidFill>
                <a:srgbClr val="FFFF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1-128D-4C0B-AED5-632659CDDCBA}"/>
              </c:ext>
            </c:extLst>
          </c:dPt>
          <c:dPt>
            <c:idx val="2"/>
            <c:bubble3D val="0"/>
            <c:explosion val="12"/>
            <c:spPr>
              <a:solidFill>
                <a:srgbClr val="00B05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2-128D-4C0B-AED5-632659CDDCB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Feuil1!$N$20:$N$22</c:f>
              <c:strCache>
                <c:ptCount val="3"/>
                <c:pt idx="0">
                  <c:v>Rejetes</c:v>
                </c:pt>
                <c:pt idx="1">
                  <c:v>incertitude</c:v>
                </c:pt>
                <c:pt idx="2">
                  <c:v>Acceptes</c:v>
                </c:pt>
              </c:strCache>
            </c:strRef>
          </c:cat>
          <c:val>
            <c:numRef>
              <c:f>Feuil1!$O$20:$O$22</c:f>
              <c:numCache>
                <c:formatCode>General</c:formatCode>
                <c:ptCount val="3"/>
                <c:pt idx="0">
                  <c:v>27</c:v>
                </c:pt>
                <c:pt idx="1">
                  <c:v>37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8D-4C0B-AED5-632659CDDCB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193350831146107E-4"/>
          <c:y val="9.837416156313802E-3"/>
          <c:w val="0.17158355205599302"/>
          <c:h val="0.30034776902887134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95250</xdr:colOff>
      <xdr:row>3</xdr:row>
      <xdr:rowOff>57150</xdr:rowOff>
    </xdr:from>
    <xdr:to>
      <xdr:col>17</xdr:col>
      <xdr:colOff>95250</xdr:colOff>
      <xdr:row>17</xdr:row>
      <xdr:rowOff>133350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23BCEAA-7EB7-4364-B0EB-3A969B8C49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H21"/>
  <sheetViews>
    <sheetView topLeftCell="A2" workbookViewId="0">
      <selection activeCell="L8" sqref="L8"/>
    </sheetView>
  </sheetViews>
  <sheetFormatPr baseColWidth="10" defaultRowHeight="15" x14ac:dyDescent="0.25"/>
  <cols>
    <col min="1" max="7" width="11.42578125" style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15</v>
      </c>
    </row>
    <row r="2" spans="1:8" x14ac:dyDescent="0.25">
      <c r="A2" s="1">
        <v>-12669592</v>
      </c>
      <c r="B2" s="1">
        <v>10220287</v>
      </c>
      <c r="C2" s="1">
        <v>11602297</v>
      </c>
      <c r="D2" s="1">
        <v>10120287</v>
      </c>
      <c r="E2" s="1">
        <v>356403</v>
      </c>
      <c r="F2" s="1">
        <v>24271889</v>
      </c>
      <c r="G2" s="1">
        <v>10632838</v>
      </c>
      <c r="H2">
        <f>Score(A2,B2,C2,D2,E2,F2,G2)</f>
        <v>3.7256642357577867</v>
      </c>
    </row>
    <row r="3" spans="1:8" x14ac:dyDescent="0.25">
      <c r="A3" s="1">
        <v>25099</v>
      </c>
      <c r="B3" s="1">
        <v>4788760</v>
      </c>
      <c r="C3" s="1">
        <v>13566555</v>
      </c>
      <c r="D3" s="1">
        <v>4688760</v>
      </c>
      <c r="E3" s="1">
        <v>304782</v>
      </c>
      <c r="F3" s="1">
        <v>13541456</v>
      </c>
      <c r="G3" s="1">
        <v>5057196</v>
      </c>
      <c r="H3">
        <f t="shared" ref="H3:H21" si="0">Score(A3,B3,C3,D3,E3,F3,G3)</f>
        <v>2.022815501124966</v>
      </c>
    </row>
    <row r="4" spans="1:8" x14ac:dyDescent="0.25">
      <c r="A4" s="1">
        <v>5697159</v>
      </c>
      <c r="B4" s="1">
        <v>3196660</v>
      </c>
      <c r="C4" s="1">
        <v>24032434</v>
      </c>
      <c r="D4" s="1">
        <v>3096660</v>
      </c>
      <c r="E4" s="1">
        <v>123104</v>
      </c>
      <c r="F4" s="1">
        <v>18335275</v>
      </c>
      <c r="G4" s="1">
        <v>3669992</v>
      </c>
      <c r="H4">
        <f t="shared" si="0"/>
        <v>1.0524954660427446</v>
      </c>
    </row>
    <row r="5" spans="1:8" x14ac:dyDescent="0.25">
      <c r="A5" s="1">
        <v>115702</v>
      </c>
      <c r="B5" s="1">
        <v>13625272</v>
      </c>
      <c r="C5" s="1">
        <v>14446232</v>
      </c>
      <c r="D5" s="1">
        <v>13525272</v>
      </c>
      <c r="E5" s="1">
        <v>476972</v>
      </c>
      <c r="F5" s="1">
        <v>14330530</v>
      </c>
      <c r="G5" s="1">
        <v>14166333</v>
      </c>
      <c r="H5">
        <f t="shared" si="0"/>
        <v>5.4192872754814472</v>
      </c>
    </row>
    <row r="6" spans="1:8" x14ac:dyDescent="0.25">
      <c r="A6" s="1">
        <v>3816720</v>
      </c>
      <c r="B6" s="1">
        <v>9331367</v>
      </c>
      <c r="C6" s="1">
        <v>16832148</v>
      </c>
      <c r="D6" s="1">
        <v>9231367</v>
      </c>
      <c r="E6" s="1">
        <v>309696</v>
      </c>
      <c r="F6" s="1">
        <v>13015428</v>
      </c>
      <c r="G6" s="1">
        <v>10023146</v>
      </c>
      <c r="H6">
        <f t="shared" si="0"/>
        <v>3.4672294700908632</v>
      </c>
    </row>
    <row r="7" spans="1:8" x14ac:dyDescent="0.25">
      <c r="A7" s="1">
        <v>14124528</v>
      </c>
      <c r="B7" s="1">
        <v>7460138</v>
      </c>
      <c r="C7" s="1">
        <v>24258979</v>
      </c>
      <c r="D7" s="1">
        <v>7360138</v>
      </c>
      <c r="E7" s="1">
        <v>458504</v>
      </c>
      <c r="F7" s="1">
        <v>10134451</v>
      </c>
      <c r="G7" s="1">
        <v>8241103</v>
      </c>
      <c r="H7">
        <f t="shared" si="0"/>
        <v>2.4969501235423692</v>
      </c>
    </row>
    <row r="8" spans="1:8" x14ac:dyDescent="0.25">
      <c r="A8" s="1">
        <v>1559563</v>
      </c>
      <c r="B8" s="1">
        <v>8221100</v>
      </c>
      <c r="C8" s="1">
        <v>19201074</v>
      </c>
      <c r="D8" s="1">
        <v>8121100</v>
      </c>
      <c r="E8" s="1">
        <v>410821</v>
      </c>
      <c r="F8" s="1">
        <v>17641511</v>
      </c>
      <c r="G8" s="1">
        <v>8583139</v>
      </c>
      <c r="H8">
        <f t="shared" si="0"/>
        <v>2.5531636799767972</v>
      </c>
    </row>
    <row r="9" spans="1:8" x14ac:dyDescent="0.25">
      <c r="A9" s="1">
        <v>7220041</v>
      </c>
      <c r="B9" s="1">
        <v>3141192</v>
      </c>
      <c r="C9" s="1">
        <v>19726999</v>
      </c>
      <c r="D9" s="1">
        <v>3041192</v>
      </c>
      <c r="E9" s="1">
        <v>113888</v>
      </c>
      <c r="F9" s="1">
        <v>12506958</v>
      </c>
      <c r="G9" s="1">
        <v>3469461</v>
      </c>
      <c r="H9">
        <f t="shared" si="0"/>
        <v>1.3520263893393647</v>
      </c>
    </row>
    <row r="10" spans="1:8" x14ac:dyDescent="0.25">
      <c r="A10" s="1">
        <v>-7705792</v>
      </c>
      <c r="B10" s="1">
        <v>6297910</v>
      </c>
      <c r="C10" s="1">
        <v>13749043</v>
      </c>
      <c r="D10" s="1">
        <v>6197910</v>
      </c>
      <c r="E10" s="1">
        <v>223844</v>
      </c>
      <c r="F10" s="1">
        <v>21454835</v>
      </c>
      <c r="G10" s="1">
        <v>7004684</v>
      </c>
      <c r="H10">
        <f t="shared" si="0"/>
        <v>1.9715535379088278</v>
      </c>
    </row>
    <row r="11" spans="1:8" x14ac:dyDescent="0.25">
      <c r="A11" s="1">
        <v>-5770669</v>
      </c>
      <c r="B11" s="1">
        <v>10843396</v>
      </c>
      <c r="C11" s="1">
        <v>13446647</v>
      </c>
      <c r="D11" s="1">
        <v>10743396</v>
      </c>
      <c r="E11" s="1">
        <v>293434</v>
      </c>
      <c r="F11" s="1">
        <v>19217316</v>
      </c>
      <c r="G11" s="1">
        <v>11620394</v>
      </c>
      <c r="H11">
        <f t="shared" si="0"/>
        <v>4.1230445131669917</v>
      </c>
    </row>
    <row r="12" spans="1:8" x14ac:dyDescent="0.25">
      <c r="A12" s="1">
        <v>162202</v>
      </c>
      <c r="B12" s="1">
        <v>2707649</v>
      </c>
      <c r="C12" s="1">
        <v>23575056</v>
      </c>
      <c r="D12" s="1">
        <v>2607649</v>
      </c>
      <c r="E12" s="1">
        <v>245758</v>
      </c>
      <c r="F12" s="1">
        <v>23412854</v>
      </c>
      <c r="G12" s="1">
        <v>3471145</v>
      </c>
      <c r="H12">
        <f t="shared" si="0"/>
        <v>0.68745299725557452</v>
      </c>
    </row>
    <row r="13" spans="1:8" x14ac:dyDescent="0.25">
      <c r="A13" s="1">
        <v>10279145</v>
      </c>
      <c r="B13" s="1">
        <v>4100015</v>
      </c>
      <c r="C13" s="1">
        <v>20671895</v>
      </c>
      <c r="D13" s="1">
        <v>4000015</v>
      </c>
      <c r="E13" s="1">
        <v>340240</v>
      </c>
      <c r="F13" s="1">
        <v>10392750</v>
      </c>
      <c r="G13" s="1">
        <v>4899009</v>
      </c>
      <c r="H13">
        <f t="shared" si="0"/>
        <v>1.7693206625034377</v>
      </c>
    </row>
    <row r="14" spans="1:8" x14ac:dyDescent="0.25">
      <c r="A14" s="1">
        <v>-816657</v>
      </c>
      <c r="B14" s="1">
        <v>3314632</v>
      </c>
      <c r="C14" s="1">
        <v>15620529</v>
      </c>
      <c r="D14" s="1">
        <v>3214632</v>
      </c>
      <c r="E14" s="1">
        <v>223387</v>
      </c>
      <c r="F14" s="1">
        <v>16437186</v>
      </c>
      <c r="G14" s="1">
        <v>4061840</v>
      </c>
      <c r="H14">
        <f t="shared" si="0"/>
        <v>1.1813897705145358</v>
      </c>
    </row>
    <row r="15" spans="1:8" x14ac:dyDescent="0.25">
      <c r="A15" s="1">
        <v>-4693175</v>
      </c>
      <c r="B15" s="1">
        <v>2622315</v>
      </c>
      <c r="C15" s="1">
        <v>14177487</v>
      </c>
      <c r="D15" s="1">
        <v>2522315</v>
      </c>
      <c r="E15" s="1">
        <v>407920</v>
      </c>
      <c r="F15" s="1">
        <v>18870662</v>
      </c>
      <c r="G15" s="1">
        <v>2986883</v>
      </c>
      <c r="H15">
        <f t="shared" si="0"/>
        <v>0.67225230100045819</v>
      </c>
    </row>
    <row r="16" spans="1:8" x14ac:dyDescent="0.25">
      <c r="A16" s="1">
        <v>11803165</v>
      </c>
      <c r="B16" s="1">
        <v>9120635</v>
      </c>
      <c r="C16" s="1">
        <v>24192612</v>
      </c>
      <c r="D16" s="1">
        <v>9020635</v>
      </c>
      <c r="E16" s="1">
        <v>189359</v>
      </c>
      <c r="F16" s="1">
        <v>12389447</v>
      </c>
      <c r="G16" s="1">
        <v>9397810</v>
      </c>
      <c r="H16">
        <f t="shared" si="0"/>
        <v>2.7409627818064171</v>
      </c>
    </row>
    <row r="17" spans="1:8" x14ac:dyDescent="0.25">
      <c r="A17" s="1">
        <v>5183016</v>
      </c>
      <c r="B17" s="1">
        <v>8787655</v>
      </c>
      <c r="C17" s="1">
        <v>19195036</v>
      </c>
      <c r="D17" s="1">
        <v>8687655</v>
      </c>
      <c r="E17" s="1">
        <v>123284</v>
      </c>
      <c r="F17" s="1">
        <v>14012020</v>
      </c>
      <c r="G17" s="1">
        <v>9587930</v>
      </c>
      <c r="H17">
        <f t="shared" si="0"/>
        <v>2.9628114092384465</v>
      </c>
    </row>
    <row r="18" spans="1:8" x14ac:dyDescent="0.25">
      <c r="A18" s="1">
        <v>2841324</v>
      </c>
      <c r="B18" s="1">
        <v>10208886</v>
      </c>
      <c r="C18" s="1">
        <v>17581204</v>
      </c>
      <c r="D18" s="1">
        <v>10108886</v>
      </c>
      <c r="E18" s="1">
        <v>100485</v>
      </c>
      <c r="F18" s="1">
        <v>14739880</v>
      </c>
      <c r="G18" s="1">
        <v>10915048</v>
      </c>
      <c r="H18">
        <f t="shared" si="0"/>
        <v>3.5286206172189392</v>
      </c>
    </row>
    <row r="19" spans="1:8" x14ac:dyDescent="0.25">
      <c r="A19" s="1">
        <v>2034404</v>
      </c>
      <c r="B19" s="1">
        <v>6354879</v>
      </c>
      <c r="C19" s="1">
        <v>20751230</v>
      </c>
      <c r="D19" s="1">
        <v>6254879</v>
      </c>
      <c r="E19" s="1">
        <v>326177</v>
      </c>
      <c r="F19" s="1">
        <v>18716826</v>
      </c>
      <c r="G19" s="1">
        <v>7279835</v>
      </c>
      <c r="H19">
        <f t="shared" si="0"/>
        <v>1.9019956661183672</v>
      </c>
    </row>
    <row r="20" spans="1:8" x14ac:dyDescent="0.25">
      <c r="A20" s="1">
        <v>-1275318</v>
      </c>
      <c r="B20" s="1">
        <v>9373731</v>
      </c>
      <c r="C20" s="1">
        <v>16635128</v>
      </c>
      <c r="D20" s="1">
        <v>9273731</v>
      </c>
      <c r="E20" s="1">
        <v>231357</v>
      </c>
      <c r="F20" s="1">
        <v>17910446</v>
      </c>
      <c r="G20" s="1">
        <v>10109637</v>
      </c>
      <c r="H20">
        <f t="shared" si="0"/>
        <v>3.1514402150388876</v>
      </c>
    </row>
    <row r="21" spans="1:8" x14ac:dyDescent="0.25">
      <c r="A21" s="1">
        <v>-5685903</v>
      </c>
      <c r="B21" s="1">
        <v>2132209</v>
      </c>
      <c r="C21" s="1">
        <v>12453407</v>
      </c>
      <c r="D21" s="1">
        <v>2032209</v>
      </c>
      <c r="E21" s="1">
        <v>308071</v>
      </c>
      <c r="F21" s="1">
        <v>18139310</v>
      </c>
      <c r="G21" s="1">
        <v>2642118</v>
      </c>
      <c r="H21">
        <f t="shared" si="0"/>
        <v>0.45246067042608756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BE010-1EFF-4898-8FFE-2B3F6FFF497D}">
  <sheetPr codeName="Feuil6"/>
  <dimension ref="A1:O22"/>
  <sheetViews>
    <sheetView tabSelected="1" workbookViewId="0">
      <selection sqref="A1:E21"/>
    </sheetView>
  </sheetViews>
  <sheetFormatPr baseColWidth="10" defaultRowHeight="15" x14ac:dyDescent="0.25"/>
  <cols>
    <col min="7" max="7" width="16.85546875" customWidth="1"/>
  </cols>
  <sheetData>
    <row r="1" spans="1:11" x14ac:dyDescent="0.25">
      <c r="A1" t="s">
        <v>11</v>
      </c>
      <c r="B1" t="s">
        <v>7</v>
      </c>
      <c r="C1" t="s">
        <v>8</v>
      </c>
      <c r="D1" t="s">
        <v>9</v>
      </c>
      <c r="E1" t="s">
        <v>10</v>
      </c>
      <c r="G1" t="s">
        <v>11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>
        <f>Score(A!A2,A!B2,A!C2,A!D2,A!E2,A!F2,A!G2)</f>
        <v>3.7256642357577867</v>
      </c>
      <c r="B2">
        <f>Score(B!A2,B!B2,B!C2,B!D2,B!E2,B!F2,B!G2)</f>
        <v>2.4137014122299512</v>
      </c>
      <c r="C2">
        <f>Score('C'!A2,'C'!B2,'C'!C2,'C'!D2,'C'!E2,'C'!F2,'C'!G2)</f>
        <v>2.9483925803838336</v>
      </c>
      <c r="D2">
        <f>Score(D!A2,D!B2,D!C2,D!D2,D!E2,D!F2,D!G2)</f>
        <v>4.1739169837021626</v>
      </c>
      <c r="E2">
        <f>Score(E!A2,E!B2,E!C2,E!D2,E!E2,E!F2,E!G2)</f>
        <v>1.9832099234295399</v>
      </c>
      <c r="G2" t="str">
        <f>IF(A2&gt;=2.99,"Acceptes",IF(A2&lt;1.81,"Rejetes",IF(AND(A2&gt;=1.81,A2&lt;2.99),"incertitude")))</f>
        <v>Acceptes</v>
      </c>
      <c r="H2" t="str">
        <f>IF(B2&gt;=D2,"Acceptes",IF(B2&lt;1.81,"Rejetes",IF(AND(B2&gt;=1.81,B2&lt;2.99),"incertitude")))</f>
        <v>incertitude</v>
      </c>
      <c r="I2" t="str">
        <f t="shared" ref="I2:K2" si="0">IF(C2&gt;=2.99,"Acceptes",IF(C2&lt;1.81,"Rejetes",IF(AND(C2&gt;=1.81,C2&lt;2.99),"incertitude")))</f>
        <v>incertitude</v>
      </c>
      <c r="J2" t="str">
        <f t="shared" si="0"/>
        <v>Acceptes</v>
      </c>
      <c r="K2" t="str">
        <f t="shared" si="0"/>
        <v>incertitude</v>
      </c>
    </row>
    <row r="3" spans="1:11" x14ac:dyDescent="0.25">
      <c r="A3">
        <f>Score(A!A3,A!B3,A!C3,A!D3,A!E3,A!F3,A!G3)</f>
        <v>2.022815501124966</v>
      </c>
      <c r="B3">
        <f>Score(B!A3,B!B3,B!C3,B!D3,B!E3,B!F3,B!G3)</f>
        <v>2.8205031348194871</v>
      </c>
      <c r="C3">
        <f>Score('C'!A3,'C'!B3,'C'!C3,'C'!D3,'C'!E3,'C'!F3,'C'!G3)</f>
        <v>2.7667081584741609</v>
      </c>
      <c r="D3">
        <f>Score(D!A3,D!B3,D!C3,D!D3,D!E3,D!F3,D!G3)</f>
        <v>2.0759504603947008</v>
      </c>
      <c r="E3">
        <f>Score(E!A3,E!B3,E!C3,E!D3,E!E3,E!F3,E!G3)</f>
        <v>1.8710779647879272</v>
      </c>
      <c r="G3" t="str">
        <f t="shared" ref="G3:G21" si="1">IF(A3&gt;=2.99,"Acceptes",IF(A3&lt;1.81,"Rejetes",IF(AND(A3&gt;=1.81,A3&lt;2.99),"incertitude")))</f>
        <v>incertitude</v>
      </c>
      <c r="H3" t="str">
        <f t="shared" ref="H3:H21" si="2">IF(B3&gt;=2.99,"Acceptes",IF(B3&lt;1.81,"Rejetes",IF(AND(B3&gt;=1.81,B3&lt;2.99),"incertitude")))</f>
        <v>incertitude</v>
      </c>
      <c r="I3" t="str">
        <f t="shared" ref="I3:I21" si="3">IF(C3&gt;=2.99,"Acceptes",IF(C3&lt;1.81,"Rejetes",IF(AND(C3&gt;=1.81,C3&lt;2.99),"incertitude")))</f>
        <v>incertitude</v>
      </c>
      <c r="J3" t="str">
        <f t="shared" ref="J3:J21" si="4">IF(D3&gt;=2.99,"Acceptes",IF(D3&lt;1.81,"Rejetes",IF(AND(D3&gt;=1.81,D3&lt;2.99),"incertitude")))</f>
        <v>incertitude</v>
      </c>
      <c r="K3" t="str">
        <f t="shared" ref="K3:K21" si="5">IF(E3&gt;=2.99,"Acceptes",IF(E3&lt;1.81,"Rejetes",IF(AND(E3&gt;=1.81,E3&lt;2.99),"incertitude")))</f>
        <v>incertitude</v>
      </c>
    </row>
    <row r="4" spans="1:11" x14ac:dyDescent="0.25">
      <c r="A4">
        <f>Score(A!A4,A!B4,A!C4,A!D4,A!E4,A!F4,A!G4)</f>
        <v>1.0524954660427446</v>
      </c>
      <c r="B4">
        <f>Score(B!A4,B!B4,B!C4,B!D4,B!E4,B!F4,B!G4)</f>
        <v>3.5652233632736023</v>
      </c>
      <c r="C4">
        <f>Score('C'!A4,'C'!B4,'C'!C4,'C'!D4,'C'!E4,'C'!F4,'C'!G4)</f>
        <v>1.4511764045879667</v>
      </c>
      <c r="D4">
        <f>Score(D!A4,D!B4,D!C4,D!D4,D!E4,D!F4,D!G4)</f>
        <v>2.0626346260137094</v>
      </c>
      <c r="E4">
        <f>Score(E!A4,E!B4,E!C4,E!D4,E!E4,E!F4,E!G4)</f>
        <v>2.3830841594167103</v>
      </c>
      <c r="G4" t="str">
        <f t="shared" si="1"/>
        <v>Rejetes</v>
      </c>
      <c r="H4" t="str">
        <f t="shared" si="2"/>
        <v>Acceptes</v>
      </c>
      <c r="I4" t="str">
        <f t="shared" si="3"/>
        <v>Rejetes</v>
      </c>
      <c r="J4" t="str">
        <f>IF(D4&gt;=2.99,"Acceptes",IF(D4&lt;1.81,"Rejetes",IF(AND(D4&gt;=1.81,D4&lt;2.99),"incertitude")))</f>
        <v>incertitude</v>
      </c>
      <c r="K4" t="str">
        <f t="shared" si="5"/>
        <v>incertitude</v>
      </c>
    </row>
    <row r="5" spans="1:11" x14ac:dyDescent="0.25">
      <c r="A5">
        <f>Score(A!A5,A!B5,A!C5,A!D5,A!E5,A!F5,A!G5)</f>
        <v>5.4192872754814472</v>
      </c>
      <c r="B5">
        <f>Score(B!A5,B!B5,B!C5,B!D5,B!E5,B!F5,B!G5)</f>
        <v>-0.36182077860307349</v>
      </c>
      <c r="C5">
        <f>Score('C'!A5,'C'!B5,'C'!C5,'C'!D5,'C'!E5,'C'!F5,'C'!G5)</f>
        <v>2.9527610893913412</v>
      </c>
      <c r="D5">
        <f>Score(D!A5,D!B5,D!C5,D!D5,D!E5,D!F5,D!G5)</f>
        <v>1.8341423982540503</v>
      </c>
      <c r="E5">
        <f>Score(E!A5,E!B5,E!C5,E!D5,E!E5,E!F5,E!G5)</f>
        <v>1.9260387490340214</v>
      </c>
      <c r="G5" t="str">
        <f t="shared" si="1"/>
        <v>Acceptes</v>
      </c>
      <c r="H5" t="str">
        <f t="shared" si="2"/>
        <v>Rejetes</v>
      </c>
      <c r="I5" t="str">
        <f t="shared" si="3"/>
        <v>incertitude</v>
      </c>
      <c r="J5" t="str">
        <f t="shared" si="4"/>
        <v>incertitude</v>
      </c>
      <c r="K5" t="str">
        <f t="shared" si="5"/>
        <v>incertitude</v>
      </c>
    </row>
    <row r="6" spans="1:11" x14ac:dyDescent="0.25">
      <c r="A6">
        <f>Score(A!A6,A!B6,A!C6,A!D6,A!E6,A!F6,A!G6)</f>
        <v>3.4672294700908632</v>
      </c>
      <c r="B6">
        <f>Score(B!A6,B!B6,B!C6,B!D6,B!E6,B!F6,B!G6)</f>
        <v>0.27851368457977776</v>
      </c>
      <c r="C6">
        <f>Score('C'!A6,'C'!B6,'C'!C6,'C'!D6,'C'!E6,'C'!F6,'C'!G6)</f>
        <v>3.6642277792858007</v>
      </c>
      <c r="D6">
        <f>Score(D!A6,D!B6,D!C6,D!D6,D!E6,D!F6,D!G6)</f>
        <v>2.3077932495717843</v>
      </c>
      <c r="E6">
        <f>Score(E!A6,E!B6,E!C6,E!D6,E!E6,E!F6,E!G6)</f>
        <v>3.0554436905480218</v>
      </c>
      <c r="G6" t="str">
        <f t="shared" si="1"/>
        <v>Acceptes</v>
      </c>
      <c r="H6" t="str">
        <f t="shared" si="2"/>
        <v>Rejetes</v>
      </c>
      <c r="I6" t="str">
        <f t="shared" si="3"/>
        <v>Acceptes</v>
      </c>
      <c r="J6" t="str">
        <f t="shared" si="4"/>
        <v>incertitude</v>
      </c>
      <c r="K6" t="str">
        <f t="shared" si="5"/>
        <v>Acceptes</v>
      </c>
    </row>
    <row r="7" spans="1:11" x14ac:dyDescent="0.25">
      <c r="A7">
        <f>Score(A!A7,A!B7,A!C7,A!D7,A!E7,A!F7,A!G7)</f>
        <v>2.4969501235423692</v>
      </c>
      <c r="B7">
        <f>Score(B!A7,B!B7,B!C7,B!D7,B!E7,B!F7,B!G7)</f>
        <v>2.8743007905340843</v>
      </c>
      <c r="C7">
        <f>Score('C'!A7,'C'!B7,'C'!C7,'C'!D7,'C'!E7,'C'!F7,'C'!G7)</f>
        <v>3.6008049353909151</v>
      </c>
      <c r="D7">
        <f>Score(D!A7,D!B7,D!C7,D!D7,D!E7,D!F7,D!G7)</f>
        <v>1.5192087168496207</v>
      </c>
      <c r="E7">
        <f>Score(E!A7,E!B7,E!C7,E!D7,E!E7,E!F7,E!G7)</f>
        <v>4.7247467112566817</v>
      </c>
      <c r="G7" t="str">
        <f t="shared" si="1"/>
        <v>incertitude</v>
      </c>
      <c r="H7" t="str">
        <f t="shared" si="2"/>
        <v>incertitude</v>
      </c>
      <c r="I7" t="str">
        <f t="shared" si="3"/>
        <v>Acceptes</v>
      </c>
      <c r="J7" t="str">
        <f t="shared" si="4"/>
        <v>Rejetes</v>
      </c>
      <c r="K7" t="str">
        <f t="shared" si="5"/>
        <v>Acceptes</v>
      </c>
    </row>
    <row r="8" spans="1:11" x14ac:dyDescent="0.25">
      <c r="A8">
        <f>Score(A!A8,A!B8,A!C8,A!D8,A!E8,A!F8,A!G8)</f>
        <v>2.5531636799767972</v>
      </c>
      <c r="B8">
        <f>Score(B!A8,B!B8,B!C8,B!D8,B!E8,B!F8,B!G8)</f>
        <v>4.3861017546052752</v>
      </c>
      <c r="C8">
        <f>Score('C'!A8,'C'!B8,'C'!C8,'C'!D8,'C'!E8,'C'!F8,'C'!G8)</f>
        <v>1.2714110296843359</v>
      </c>
      <c r="D8">
        <f>Score(D!A8,D!B8,D!C8,D!D8,D!E8,D!F8,D!G8)</f>
        <v>4.7233610434768831</v>
      </c>
      <c r="E8">
        <f>Score(E!A8,E!B8,E!C8,E!D8,E!E8,E!F8,E!G8)</f>
        <v>0.95832447319648262</v>
      </c>
      <c r="G8" t="str">
        <f t="shared" si="1"/>
        <v>incertitude</v>
      </c>
      <c r="H8" t="str">
        <f t="shared" si="2"/>
        <v>Acceptes</v>
      </c>
      <c r="I8" t="str">
        <f t="shared" si="3"/>
        <v>Rejetes</v>
      </c>
      <c r="J8" t="str">
        <f t="shared" si="4"/>
        <v>Acceptes</v>
      </c>
      <c r="K8" t="str">
        <f t="shared" si="5"/>
        <v>Rejetes</v>
      </c>
    </row>
    <row r="9" spans="1:11" x14ac:dyDescent="0.25">
      <c r="A9">
        <f>Score(A!A9,A!B9,A!C9,A!D9,A!E9,A!F9,A!G9)</f>
        <v>1.3520263893393647</v>
      </c>
      <c r="B9">
        <f>Score(B!A9,B!B9,B!C9,B!D9,B!E9,B!F9,B!G9)</f>
        <v>3.0959086029659648</v>
      </c>
      <c r="C9">
        <f>Score('C'!A9,'C'!B9,'C'!C9,'C'!D9,'C'!E9,'C'!F9,'C'!G9)</f>
        <v>4.1120273768929883</v>
      </c>
      <c r="D9">
        <f>Score(D!A9,D!B9,D!C9,D!D9,D!E9,D!F9,D!G9)</f>
        <v>0.32120544585633493</v>
      </c>
      <c r="E9">
        <f>Score(E!A9,E!B9,E!C9,E!D9,E!E9,E!F9,E!G9)</f>
        <v>2.1409314298837483</v>
      </c>
      <c r="G9" t="str">
        <f t="shared" si="1"/>
        <v>Rejetes</v>
      </c>
      <c r="H9" t="str">
        <f t="shared" si="2"/>
        <v>Acceptes</v>
      </c>
      <c r="I9" t="str">
        <f t="shared" si="3"/>
        <v>Acceptes</v>
      </c>
      <c r="J9" t="str">
        <f t="shared" si="4"/>
        <v>Rejetes</v>
      </c>
      <c r="K9" t="str">
        <f t="shared" si="5"/>
        <v>incertitude</v>
      </c>
    </row>
    <row r="10" spans="1:11" x14ac:dyDescent="0.25">
      <c r="A10">
        <f>Score(A!A10,A!B10,A!C10,A!D10,A!E10,A!F10,A!G10)</f>
        <v>1.9715535379088278</v>
      </c>
      <c r="B10">
        <f>Score(B!A10,B!B10,B!C10,B!D10,B!E10,B!F10,B!G10)</f>
        <v>4.4180015014373462</v>
      </c>
      <c r="C10">
        <f>Score('C'!A10,'C'!B10,'C'!C10,'C'!D10,'C'!E10,'C'!F10,'C'!G10)</f>
        <v>1.9469759979674783</v>
      </c>
      <c r="D10">
        <f>Score(D!A10,D!B10,D!C10,D!D10,D!E10,D!F10,D!G10)</f>
        <v>3.4297470434034913</v>
      </c>
      <c r="E10">
        <f>Score(E!A10,E!B10,E!C10,E!D10,E!E10,E!F10,E!G10)</f>
        <v>3.6481288120937547</v>
      </c>
      <c r="G10" t="str">
        <f t="shared" si="1"/>
        <v>incertitude</v>
      </c>
      <c r="H10" t="str">
        <f t="shared" si="2"/>
        <v>Acceptes</v>
      </c>
      <c r="I10" t="str">
        <f t="shared" si="3"/>
        <v>incertitude</v>
      </c>
      <c r="J10" t="str">
        <f t="shared" si="4"/>
        <v>Acceptes</v>
      </c>
      <c r="K10" t="str">
        <f t="shared" si="5"/>
        <v>Acceptes</v>
      </c>
    </row>
    <row r="11" spans="1:11" x14ac:dyDescent="0.25">
      <c r="A11">
        <f>Score(A!A11,A!B11,A!C11,A!D11,A!E11,A!F11,A!G11)</f>
        <v>4.1230445131669917</v>
      </c>
      <c r="B11">
        <f>Score(B!A11,B!B11,B!C11,B!D11,B!E11,B!F11,B!G11)</f>
        <v>2.1980203761131691</v>
      </c>
      <c r="C11">
        <f>Score('C'!A11,'C'!B11,'C'!C11,'C'!D11,'C'!E11,'C'!F11,'C'!G11)</f>
        <v>1.8111439104938636</v>
      </c>
      <c r="D11">
        <f>Score(D!A11,D!B11,D!C11,D!D11,D!E11,D!F11,D!G11)</f>
        <v>2.8166188433304828</v>
      </c>
      <c r="E11">
        <f>Score(E!A11,E!B11,E!C11,E!D11,E!E11,E!F11,E!G11)</f>
        <v>1.3651109228159395</v>
      </c>
      <c r="G11" t="str">
        <f t="shared" si="1"/>
        <v>Acceptes</v>
      </c>
      <c r="H11" t="str">
        <f t="shared" si="2"/>
        <v>incertitude</v>
      </c>
      <c r="I11" t="str">
        <f t="shared" si="3"/>
        <v>incertitude</v>
      </c>
      <c r="J11" t="str">
        <f t="shared" si="4"/>
        <v>incertitude</v>
      </c>
      <c r="K11" t="str">
        <f t="shared" si="5"/>
        <v>Rejetes</v>
      </c>
    </row>
    <row r="12" spans="1:11" x14ac:dyDescent="0.25">
      <c r="A12">
        <f>Score(A!A12,A!B12,A!C12,A!D12,A!E12,A!F12,A!G12)</f>
        <v>0.68745299725557452</v>
      </c>
      <c r="B12">
        <f>Score(B!A12,B!B12,B!C12,B!D12,B!E12,B!F12,B!G12)</f>
        <v>3.1656267793836776</v>
      </c>
      <c r="C12">
        <f>Score('C'!A12,'C'!B12,'C'!C12,'C'!D12,'C'!E12,'C'!F12,'C'!G12)</f>
        <v>2.3347155483481727</v>
      </c>
      <c r="D12">
        <f>Score(D!A12,D!B12,D!C12,D!D12,D!E12,D!F12,D!G12)</f>
        <v>3.2431464177574241</v>
      </c>
      <c r="E12">
        <f>Score(E!A12,E!B12,E!C12,E!D12,E!E12,E!F12,E!G12)</f>
        <v>4.3085418899048795</v>
      </c>
      <c r="G12" t="str">
        <f t="shared" si="1"/>
        <v>Rejetes</v>
      </c>
      <c r="H12" t="str">
        <f t="shared" si="2"/>
        <v>Acceptes</v>
      </c>
      <c r="I12" t="str">
        <f t="shared" si="3"/>
        <v>incertitude</v>
      </c>
      <c r="J12" t="str">
        <f t="shared" si="4"/>
        <v>Acceptes</v>
      </c>
      <c r="K12" t="str">
        <f t="shared" si="5"/>
        <v>Acceptes</v>
      </c>
    </row>
    <row r="13" spans="1:11" x14ac:dyDescent="0.25">
      <c r="A13">
        <f>Score(A!A13,A!B13,A!C13,A!D13,A!E13,A!F13,A!G13)</f>
        <v>1.7693206625034377</v>
      </c>
      <c r="B13">
        <f>Score(B!A13,B!B13,B!C13,B!D13,B!E13,B!F13,B!G13)</f>
        <v>4.7870490154336096</v>
      </c>
      <c r="C13">
        <f>Score('C'!A13,'C'!B13,'C'!C13,'C'!D13,'C'!E13,'C'!F13,'C'!G13)</f>
        <v>1.0297422458274885</v>
      </c>
      <c r="D13">
        <f>Score(D!A13,D!B13,D!C13,D!D13,D!E13,D!F13,D!G13)</f>
        <v>0.52165811657666439</v>
      </c>
      <c r="E13">
        <f>Score(E!A13,E!B13,E!C13,E!D13,E!E13,E!F13,E!G13)</f>
        <v>2.1049706790223057</v>
      </c>
      <c r="G13" t="str">
        <f t="shared" si="1"/>
        <v>Rejetes</v>
      </c>
      <c r="H13" t="str">
        <f t="shared" si="2"/>
        <v>Acceptes</v>
      </c>
      <c r="I13" t="str">
        <f t="shared" si="3"/>
        <v>Rejetes</v>
      </c>
      <c r="J13" t="str">
        <f t="shared" si="4"/>
        <v>Rejetes</v>
      </c>
      <c r="K13" t="str">
        <f t="shared" si="5"/>
        <v>incertitude</v>
      </c>
    </row>
    <row r="14" spans="1:11" x14ac:dyDescent="0.25">
      <c r="A14">
        <f>Score(A!A14,A!B14,A!C14,A!D14,A!E14,A!F14,A!G14)</f>
        <v>1.1813897705145358</v>
      </c>
      <c r="B14">
        <f>Score(B!A14,B!B14,B!C14,B!D14,B!E14,B!F14,B!G14)</f>
        <v>1.779422605881855</v>
      </c>
      <c r="C14">
        <f>Score('C'!A14,'C'!B14,'C'!C14,'C'!D14,'C'!E14,'C'!F14,'C'!G14)</f>
        <v>4.1155364104236849</v>
      </c>
      <c r="D14">
        <f>Score(D!A14,D!B14,D!C14,D!D14,D!E14,D!F14,D!G14)</f>
        <v>2.2176795695351146</v>
      </c>
      <c r="E14">
        <f>Score(E!A14,E!B14,E!C14,E!D14,E!E14,E!F14,E!G14)</f>
        <v>0.28634782144339632</v>
      </c>
      <c r="G14" t="str">
        <f t="shared" si="1"/>
        <v>Rejetes</v>
      </c>
      <c r="H14" t="str">
        <f t="shared" si="2"/>
        <v>Rejetes</v>
      </c>
      <c r="I14" t="str">
        <f t="shared" si="3"/>
        <v>Acceptes</v>
      </c>
      <c r="J14" t="str">
        <f t="shared" si="4"/>
        <v>incertitude</v>
      </c>
      <c r="K14" t="str">
        <f t="shared" si="5"/>
        <v>Rejetes</v>
      </c>
    </row>
    <row r="15" spans="1:11" x14ac:dyDescent="0.25">
      <c r="A15">
        <f>Score(A!A15,A!B15,A!C15,A!D15,A!E15,A!F15,A!G15)</f>
        <v>0.67225230100045819</v>
      </c>
      <c r="B15">
        <f>Score(B!A15,B!B15,B!C15,B!D15,B!E15,B!F15,B!G15)</f>
        <v>2.1461522138097835</v>
      </c>
      <c r="C15">
        <f>Score('C'!A15,'C'!B15,'C'!C15,'C'!D15,'C'!E15,'C'!F15,'C'!G15)</f>
        <v>2.4772210291376418</v>
      </c>
      <c r="D15">
        <f>Score(D!A15,D!B15,D!C15,D!D15,D!E15,D!F15,D!G15)</f>
        <v>1.6434557400322403</v>
      </c>
      <c r="E15">
        <f>Score(E!A15,E!B15,E!C15,E!D15,E!E15,E!F15,E!G15)</f>
        <v>4.4920770429999104</v>
      </c>
      <c r="G15" t="str">
        <f t="shared" si="1"/>
        <v>Rejetes</v>
      </c>
      <c r="H15" t="str">
        <f t="shared" si="2"/>
        <v>incertitude</v>
      </c>
      <c r="I15" t="str">
        <f t="shared" si="3"/>
        <v>incertitude</v>
      </c>
      <c r="J15" t="str">
        <f t="shared" si="4"/>
        <v>Rejetes</v>
      </c>
      <c r="K15" t="str">
        <f t="shared" si="5"/>
        <v>Acceptes</v>
      </c>
    </row>
    <row r="16" spans="1:11" x14ac:dyDescent="0.25">
      <c r="A16">
        <f>Score(A!A16,A!B16,A!C16,A!D16,A!E16,A!F16,A!G16)</f>
        <v>2.7409627818064171</v>
      </c>
      <c r="B16">
        <f>Score(B!A16,B!B16,B!C16,B!D16,B!E16,B!F16,B!G16)</f>
        <v>3.6417554704447808</v>
      </c>
      <c r="C16">
        <f>Score('C'!A16,'C'!B16,'C'!C16,'C'!D16,'C'!E16,'C'!F16,'C'!G16)</f>
        <v>3.2721716221007062</v>
      </c>
      <c r="D16">
        <f>Score(D!A16,D!B16,D!C16,D!D16,D!E16,D!F16,D!G16)</f>
        <v>3.9256741578419745</v>
      </c>
      <c r="E16">
        <f>Score(E!A16,E!B16,E!C16,E!D16,E!E16,E!F16,E!G16)</f>
        <v>2.955292013487306</v>
      </c>
      <c r="G16" t="str">
        <f t="shared" si="1"/>
        <v>incertitude</v>
      </c>
      <c r="H16" t="str">
        <f t="shared" si="2"/>
        <v>Acceptes</v>
      </c>
      <c r="I16" t="str">
        <f t="shared" si="3"/>
        <v>Acceptes</v>
      </c>
      <c r="J16" t="str">
        <f t="shared" si="4"/>
        <v>Acceptes</v>
      </c>
      <c r="K16" t="str">
        <f t="shared" si="5"/>
        <v>incertitude</v>
      </c>
    </row>
    <row r="17" spans="1:15" x14ac:dyDescent="0.25">
      <c r="A17">
        <f>Score(A!A17,A!B17,A!C17,A!D17,A!E17,A!F17,A!G17)</f>
        <v>2.9628114092384465</v>
      </c>
      <c r="B17">
        <f>Score(B!A17,B!B17,B!C17,B!D17,B!E17,B!F17,B!G17)</f>
        <v>0.92058455878652834</v>
      </c>
      <c r="C17">
        <f>Score('C'!A17,'C'!B17,'C'!C17,'C'!D17,'C'!E17,'C'!F17,'C'!G17)</f>
        <v>-0.84737226122610998</v>
      </c>
      <c r="D17">
        <f>Score(D!A17,D!B17,D!C17,D!D17,D!E17,D!F17,D!G17)</f>
        <v>5.4616179321218636</v>
      </c>
      <c r="E17">
        <f>Score(E!A17,E!B17,E!C17,E!D17,E!E17,E!F17,E!G17)</f>
        <v>3.0442208799809389</v>
      </c>
      <c r="G17" t="str">
        <f t="shared" si="1"/>
        <v>incertitude</v>
      </c>
      <c r="H17" t="str">
        <f t="shared" si="2"/>
        <v>Rejetes</v>
      </c>
      <c r="I17" t="str">
        <f t="shared" si="3"/>
        <v>Rejetes</v>
      </c>
      <c r="J17" t="str">
        <f t="shared" si="4"/>
        <v>Acceptes</v>
      </c>
      <c r="K17" t="str">
        <f t="shared" si="5"/>
        <v>Acceptes</v>
      </c>
    </row>
    <row r="18" spans="1:15" x14ac:dyDescent="0.25">
      <c r="A18">
        <f>Score(A!A18,A!B18,A!C18,A!D18,A!E18,A!F18,A!G18)</f>
        <v>3.5286206172189392</v>
      </c>
      <c r="B18">
        <f>Score(B!A18,B!B18,B!C18,B!D18,B!E18,B!F18,B!G18)</f>
        <v>2.7479305289782454</v>
      </c>
      <c r="C18">
        <f>Score('C'!A18,'C'!B18,'C'!C18,'C'!D18,'C'!E18,'C'!F18,'C'!G18)</f>
        <v>5.2657809264820763</v>
      </c>
      <c r="D18">
        <f>Score(D!A18,D!B18,D!C18,D!D18,D!E18,D!F18,D!G18)</f>
        <v>3.2767209981154335</v>
      </c>
      <c r="E18">
        <f>Score(E!A18,E!B18,E!C18,E!D18,E!E18,E!F18,E!G18)</f>
        <v>1.1484423575551594</v>
      </c>
      <c r="G18" t="str">
        <f t="shared" si="1"/>
        <v>Acceptes</v>
      </c>
      <c r="H18" t="str">
        <f t="shared" si="2"/>
        <v>incertitude</v>
      </c>
      <c r="I18" t="str">
        <f t="shared" si="3"/>
        <v>Acceptes</v>
      </c>
      <c r="J18" t="str">
        <f t="shared" si="4"/>
        <v>Acceptes</v>
      </c>
      <c r="K18" t="str">
        <f t="shared" si="5"/>
        <v>Rejetes</v>
      </c>
    </row>
    <row r="19" spans="1:15" x14ac:dyDescent="0.25">
      <c r="A19">
        <f>Score(A!A19,A!B19,A!C19,A!D19,A!E19,A!F19,A!G19)</f>
        <v>1.9019956661183672</v>
      </c>
      <c r="B19">
        <f>Score(B!A19,B!B19,B!C19,B!D19,B!E19,B!F19,B!G19)</f>
        <v>1.0453681702725734</v>
      </c>
      <c r="C19">
        <f>Score('C'!A19,'C'!B19,'C'!C19,'C'!D19,'C'!E19,'C'!F19,'C'!G19)</f>
        <v>3.4142665350455639</v>
      </c>
      <c r="D19">
        <f>Score(D!A19,D!B19,D!C19,D!D19,D!E19,D!F19,D!G19)</f>
        <v>1.4487523577583251E-2</v>
      </c>
      <c r="E19">
        <f>Score(E!A19,E!B19,E!C19,E!D19,E!E19,E!F19,E!G19)</f>
        <v>1.8822647010704068</v>
      </c>
      <c r="G19" t="str">
        <f t="shared" si="1"/>
        <v>incertitude</v>
      </c>
      <c r="H19" t="str">
        <f t="shared" si="2"/>
        <v>Rejetes</v>
      </c>
      <c r="I19" t="str">
        <f t="shared" si="3"/>
        <v>Acceptes</v>
      </c>
      <c r="J19" t="str">
        <f t="shared" si="4"/>
        <v>Rejetes</v>
      </c>
      <c r="K19" t="str">
        <f t="shared" si="5"/>
        <v>incertitude</v>
      </c>
    </row>
    <row r="20" spans="1:15" x14ac:dyDescent="0.25">
      <c r="A20">
        <f>Score(A!A20,A!B20,A!C20,A!D20,A!E20,A!F20,A!G20)</f>
        <v>3.1514402150388876</v>
      </c>
      <c r="B20">
        <f>Score(B!A20,B!B20,B!C20,B!D20,B!E20,B!F20,B!G20)</f>
        <v>4.5444856009559746</v>
      </c>
      <c r="C20">
        <f>Score('C'!A20,'C'!B20,'C'!C20,'C'!D20,'C'!E20,'C'!F20,'C'!G20)</f>
        <v>1.4701666042188455</v>
      </c>
      <c r="D20">
        <f>Score(D!A20,D!B20,D!C20,D!D20,D!E20,D!F20,D!G20)</f>
        <v>4.8117166849142325</v>
      </c>
      <c r="E20">
        <f>Score(E!A20,E!B20,E!C20,E!D20,E!E20,E!F20,E!G20)</f>
        <v>2.0136186252210755</v>
      </c>
      <c r="G20" t="str">
        <f t="shared" si="1"/>
        <v>Acceptes</v>
      </c>
      <c r="H20" t="str">
        <f t="shared" si="2"/>
        <v>Acceptes</v>
      </c>
      <c r="I20" t="str">
        <f t="shared" si="3"/>
        <v>Rejetes</v>
      </c>
      <c r="J20" t="str">
        <f t="shared" si="4"/>
        <v>Acceptes</v>
      </c>
      <c r="K20" t="str">
        <f t="shared" si="5"/>
        <v>incertitude</v>
      </c>
      <c r="N20" s="2" t="s">
        <v>13</v>
      </c>
      <c r="O20" s="2">
        <f>COUNTIF(A1:E21,"&lt;1,81")</f>
        <v>27</v>
      </c>
    </row>
    <row r="21" spans="1:15" x14ac:dyDescent="0.25">
      <c r="A21">
        <f>Score(A!A21,A!B21,A!C21,A!D21,A!E21,A!F21,A!G21)</f>
        <v>0.45246067042608756</v>
      </c>
      <c r="B21">
        <f>Score(B!A21,B!B21,B!C21,B!D21,B!E21,B!F21,B!G21)</f>
        <v>2.5016483353282704</v>
      </c>
      <c r="C21">
        <f>Score('C'!A21,'C'!B21,'C'!C21,'C'!D21,'C'!E21,'C'!F21,'C'!G21)</f>
        <v>3.3947584178554155</v>
      </c>
      <c r="D21">
        <f>Score(D!A21,D!B21,D!C21,D!D21,D!E21,D!F21,D!G21)</f>
        <v>0.47210265997456147</v>
      </c>
      <c r="E21">
        <f>Score(E!A21,E!B21,E!C21,E!D21,E!E21,E!F21,E!G21)</f>
        <v>2.0531032620885483</v>
      </c>
      <c r="G21" t="str">
        <f t="shared" si="1"/>
        <v>Rejetes</v>
      </c>
      <c r="H21" t="str">
        <f t="shared" si="2"/>
        <v>incertitude</v>
      </c>
      <c r="I21" t="str">
        <f t="shared" si="3"/>
        <v>Acceptes</v>
      </c>
      <c r="J21" t="str">
        <f t="shared" si="4"/>
        <v>Rejetes</v>
      </c>
      <c r="K21" t="str">
        <f t="shared" si="5"/>
        <v>incertitude</v>
      </c>
      <c r="N21" s="2" t="s">
        <v>12</v>
      </c>
      <c r="O21" s="2">
        <f>COUNTIF(A1:E21,"&gt;=1,81")-COUNTIF(A1:E21,"&gt;2,99")</f>
        <v>37</v>
      </c>
    </row>
    <row r="22" spans="1:15" x14ac:dyDescent="0.25">
      <c r="N22" s="2" t="s">
        <v>14</v>
      </c>
      <c r="O22" s="2">
        <f>COUNTIF(A1:E21,"&gt;=2,99")</f>
        <v>36</v>
      </c>
    </row>
  </sheetData>
  <autoFilter ref="A1:E21" xr:uid="{FFE8BF79-6829-47EE-A3DC-9EA311777C65}"/>
  <conditionalFormatting sqref="A1:E21">
    <cfRule type="colorScale" priority="11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G1:K1">
    <cfRule type="colorScale" priority="10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G2:K21">
    <cfRule type="containsText" dxfId="2" priority="3" operator="containsText" text="incertitude">
      <formula>NOT(ISERROR(SEARCH("incertitude",G2)))</formula>
    </cfRule>
    <cfRule type="colorScale" priority="5">
      <colorScale>
        <cfvo type="min"/>
        <cfvo type="percentile" val="50"/>
        <cfvo type="max"/>
        <color rgb="FFFF0000"/>
        <color rgb="FFFFFF00"/>
        <color rgb="FF00B050"/>
      </colorScale>
    </cfRule>
    <cfRule type="colorScale" priority="6">
      <colorScale>
        <cfvo type="min"/>
        <cfvo type="percentile" val="50"/>
        <cfvo type="max"/>
        <color rgb="FFFF0000"/>
        <color rgb="FFFFFF00"/>
        <color rgb="FF00B050"/>
      </colorScale>
    </cfRule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9">
      <colorScale>
        <cfvo type="min"/>
        <cfvo type="max"/>
        <color rgb="FFF8696B"/>
        <color rgb="FFFCFCFF"/>
      </colorScale>
    </cfRule>
  </conditionalFormatting>
  <conditionalFormatting sqref="G1:K21">
    <cfRule type="containsText" dxfId="1" priority="4" operator="containsText" text="Acceptes">
      <formula>NOT(ISERROR(SEARCH("Acceptes",G1)))</formula>
    </cfRule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G4:K21">
    <cfRule type="containsText" dxfId="0" priority="1" operator="containsText" text="Rejetes">
      <formula>NOT(ISERROR(SEARCH("Rejetes",G4)))</formula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E7B56-6A3E-4AAD-AF71-3B0069939A81}">
  <sheetPr codeName="Feuil9"/>
  <dimension ref="A1:Q46"/>
  <sheetViews>
    <sheetView topLeftCell="A21" zoomScale="84" zoomScaleNormal="84" workbookViewId="0">
      <selection activeCell="E33" sqref="E33"/>
    </sheetView>
  </sheetViews>
  <sheetFormatPr baseColWidth="10" defaultRowHeight="15" x14ac:dyDescent="0.25"/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16</v>
      </c>
      <c r="J1" s="1" t="s">
        <v>0</v>
      </c>
      <c r="K1" s="1" t="s">
        <v>1</v>
      </c>
      <c r="L1" s="1" t="s">
        <v>2</v>
      </c>
      <c r="M1" s="1" t="s">
        <v>3</v>
      </c>
      <c r="N1" s="1" t="s">
        <v>4</v>
      </c>
      <c r="O1" s="1" t="s">
        <v>5</v>
      </c>
      <c r="P1" s="1" t="s">
        <v>6</v>
      </c>
      <c r="Q1" s="1" t="s">
        <v>16</v>
      </c>
    </row>
    <row r="2" spans="1:17" x14ac:dyDescent="0.25">
      <c r="A2">
        <v>6462220.558677203</v>
      </c>
      <c r="B2">
        <v>3477668.4535110802</v>
      </c>
      <c r="C2">
        <v>9653172.7439089064</v>
      </c>
      <c r="D2">
        <v>3718243.4872873174</v>
      </c>
      <c r="E2">
        <v>123317.77884761199</v>
      </c>
      <c r="F2">
        <v>18303422.888374079</v>
      </c>
      <c r="G2">
        <v>3934290.1850919756</v>
      </c>
      <c r="H2">
        <f>Score(A2,B2,C2,D2,E2,F2,G2)</f>
        <v>2.9899995721361492</v>
      </c>
      <c r="J2" s="1">
        <v>25105.709800367807</v>
      </c>
      <c r="K2" s="1">
        <v>5073723.8107619146</v>
      </c>
      <c r="L2" s="1">
        <v>10082454.294388814</v>
      </c>
      <c r="M2" s="1">
        <v>5332700.0940062515</v>
      </c>
      <c r="N2" s="1">
        <v>305260.52592813462</v>
      </c>
      <c r="O2" s="1">
        <v>13520186.915083934</v>
      </c>
      <c r="P2" s="1">
        <v>5283973.832024592</v>
      </c>
      <c r="Q2">
        <f>Score(J2,K2,L2,M2,N2,O2,P2)</f>
        <v>2.9899987887845496</v>
      </c>
    </row>
    <row r="3" spans="1:17" x14ac:dyDescent="0.25">
      <c r="A3">
        <v>8275143.3663658202</v>
      </c>
      <c r="B3">
        <v>3374189.3612513831</v>
      </c>
      <c r="C3">
        <v>10071110.886732016</v>
      </c>
      <c r="D3">
        <v>3555988.554323331</v>
      </c>
      <c r="E3">
        <v>114086.17951615153</v>
      </c>
      <c r="F3">
        <v>12485189.590879504</v>
      </c>
      <c r="G3">
        <v>3672286.9552985751</v>
      </c>
      <c r="H3">
        <f>Score(A3,B3,C3,D3,E3,F3,G3)</f>
        <v>2.9900008631354793</v>
      </c>
      <c r="J3" s="1">
        <v>14658630.900296262</v>
      </c>
      <c r="K3" s="1">
        <v>7633965.1209732434</v>
      </c>
      <c r="L3" s="1">
        <v>21016310.311252087</v>
      </c>
      <c r="M3" s="1">
        <v>7758962.3220260218</v>
      </c>
      <c r="N3" s="1">
        <v>459177.60544168443</v>
      </c>
      <c r="O3" s="1">
        <v>10119562.128133183</v>
      </c>
      <c r="P3" s="1">
        <v>8392470.2550897636</v>
      </c>
      <c r="Q3">
        <f t="shared" ref="Q3:Q46" si="0">Score(J3,K3,L3,M3,N3,O3,P3)</f>
        <v>2.9899983820884439</v>
      </c>
    </row>
    <row r="4" spans="1:17" x14ac:dyDescent="0.25">
      <c r="A4">
        <v>163277.27276121828</v>
      </c>
      <c r="B4">
        <v>3057221.8847403405</v>
      </c>
      <c r="C4">
        <v>6391842.7354477765</v>
      </c>
      <c r="D4">
        <v>3371902.0701785106</v>
      </c>
      <c r="E4">
        <v>246847.44512020092</v>
      </c>
      <c r="F4">
        <v>23308933.140878163</v>
      </c>
      <c r="G4">
        <v>3471145</v>
      </c>
      <c r="H4">
        <f>Score(A4,B4,C4,D4,E4,F4,G4)</f>
        <v>2.989999844127551</v>
      </c>
      <c r="J4" s="1">
        <v>1566154.8202426371</v>
      </c>
      <c r="K4" s="1">
        <v>8434800.804370692</v>
      </c>
      <c r="L4" s="1">
        <v>17086787.31047326</v>
      </c>
      <c r="M4" s="1">
        <v>8612643.4738281891</v>
      </c>
      <c r="N4" s="1">
        <v>411069.9227131732</v>
      </c>
      <c r="O4" s="1">
        <v>17630821.761098716</v>
      </c>
      <c r="P4" s="1">
        <v>8749356.2250046786</v>
      </c>
      <c r="Q4">
        <f t="shared" si="0"/>
        <v>2.989998507900018</v>
      </c>
    </row>
    <row r="5" spans="1:17" x14ac:dyDescent="0.25">
      <c r="A5">
        <v>11374590.900789948</v>
      </c>
      <c r="B5">
        <v>4303341.7963609789</v>
      </c>
      <c r="C5">
        <v>13292121.8641713</v>
      </c>
      <c r="D5">
        <v>4456191.4693931956</v>
      </c>
      <c r="E5">
        <v>341334.39743549266</v>
      </c>
      <c r="F5">
        <v>10359271.740809731</v>
      </c>
      <c r="G5">
        <v>5106155.5247901166</v>
      </c>
      <c r="H5">
        <f>Score(A5,B5,C5,D5,E5,F5,G5)</f>
        <v>2.9900005200845809</v>
      </c>
      <c r="J5" s="1">
        <v>159965.39624066307</v>
      </c>
      <c r="K5" s="1">
        <v>6422571.1679919232</v>
      </c>
      <c r="L5" s="1">
        <v>12629595.52411429</v>
      </c>
      <c r="M5" s="1">
        <v>6482496.7816294422</v>
      </c>
      <c r="N5" s="1">
        <v>223887.25135429713</v>
      </c>
      <c r="O5" s="1">
        <v>21450689.48453081</v>
      </c>
      <c r="P5" s="1">
        <v>7114724.5725515829</v>
      </c>
      <c r="Q5">
        <f t="shared" si="0"/>
        <v>2.9900006363427396</v>
      </c>
    </row>
    <row r="6" spans="1:17" x14ac:dyDescent="0.25">
      <c r="A6">
        <v>0</v>
      </c>
      <c r="B6">
        <v>3677576.4231641241</v>
      </c>
      <c r="C6">
        <v>7666044.647872312</v>
      </c>
      <c r="D6">
        <v>4019302.2380709569</v>
      </c>
      <c r="E6">
        <v>224025.19361985289</v>
      </c>
      <c r="F6">
        <v>16390207.702870868</v>
      </c>
      <c r="G6">
        <v>4450753.1062328052</v>
      </c>
      <c r="H6">
        <f>Score(A6,B6,C6,D6,E6,F6,G6)</f>
        <v>2.9900002620846755</v>
      </c>
      <c r="J6" s="1">
        <v>11968175.026483482</v>
      </c>
      <c r="K6" s="1">
        <v>9235585.3615900278</v>
      </c>
      <c r="L6" s="1">
        <v>22614475.724816117</v>
      </c>
      <c r="M6" s="1">
        <v>9285680.4242083654</v>
      </c>
      <c r="N6" s="1">
        <v>189400.46542491982</v>
      </c>
      <c r="O6" s="1">
        <v>12386733.9909361</v>
      </c>
      <c r="P6" s="1">
        <v>9484896.5233755615</v>
      </c>
      <c r="Q6">
        <f t="shared" si="0"/>
        <v>2.9899989983132023</v>
      </c>
    </row>
    <row r="7" spans="1:17" x14ac:dyDescent="0.25">
      <c r="A7">
        <v>1502511.339981189</v>
      </c>
      <c r="B7">
        <v>1819688.0053588215</v>
      </c>
      <c r="C7">
        <v>6425678.200618702</v>
      </c>
      <c r="D7">
        <v>3323989.8016954456</v>
      </c>
      <c r="E7">
        <v>408103.84573149856</v>
      </c>
      <c r="F7">
        <v>20428651.197112411</v>
      </c>
      <c r="G7">
        <v>3819832.1418680656</v>
      </c>
      <c r="H7">
        <f>Score(A7,B7,C7,D7,E7,F7,G7)</f>
        <v>2.9899995710145144</v>
      </c>
      <c r="J7" s="1">
        <v>5186878.0044103181</v>
      </c>
      <c r="K7" s="1">
        <v>8800607.107941797</v>
      </c>
      <c r="L7" s="1">
        <v>19064487.189749289</v>
      </c>
      <c r="M7" s="1">
        <v>8717494.0837123711</v>
      </c>
      <c r="N7" s="1">
        <v>123285.49664680702</v>
      </c>
      <c r="O7" s="1">
        <v>14011849.896814289</v>
      </c>
      <c r="P7" s="1">
        <v>9598932.2527628038</v>
      </c>
      <c r="Q7">
        <f t="shared" si="0"/>
        <v>2.9899997804805944</v>
      </c>
    </row>
    <row r="8" spans="1:17" x14ac:dyDescent="0.25">
      <c r="A8">
        <v>2388815.3708560066</v>
      </c>
      <c r="B8">
        <v>1413819.7821303683</v>
      </c>
      <c r="C8">
        <v>5784683.2060591131</v>
      </c>
      <c r="D8">
        <v>2653551.9368018974</v>
      </c>
      <c r="E8">
        <v>308091.38978626358</v>
      </c>
      <c r="F8">
        <v>19879144.275541101</v>
      </c>
      <c r="G8">
        <v>3643408.3870287775</v>
      </c>
      <c r="H8">
        <f>Score(A8,B8,C8,D8,E8,F8,G8)</f>
        <v>2.9900001912738756</v>
      </c>
      <c r="J8" s="1">
        <v>2069249.9748224984</v>
      </c>
      <c r="K8" s="1">
        <v>6751558.3514639083</v>
      </c>
      <c r="L8" s="1">
        <v>14502126.34804496</v>
      </c>
      <c r="M8" s="1">
        <v>7160713.2259708596</v>
      </c>
      <c r="N8" s="1">
        <v>326646.4861890449</v>
      </c>
      <c r="O8" s="1">
        <v>18689871.971266963</v>
      </c>
      <c r="P8" s="1">
        <v>7651289.4230558695</v>
      </c>
      <c r="Q8">
        <f t="shared" si="0"/>
        <v>2.9899992781015983</v>
      </c>
    </row>
    <row r="10" spans="1:17" x14ac:dyDescent="0.25">
      <c r="A10" s="1" t="s">
        <v>0</v>
      </c>
      <c r="B10" s="1" t="s">
        <v>1</v>
      </c>
      <c r="C10" s="1" t="s">
        <v>2</v>
      </c>
      <c r="D10" s="1" t="s">
        <v>3</v>
      </c>
      <c r="E10" s="1" t="s">
        <v>4</v>
      </c>
      <c r="F10" s="1" t="s">
        <v>5</v>
      </c>
      <c r="G10" s="1" t="s">
        <v>6</v>
      </c>
      <c r="H10" t="s">
        <v>16</v>
      </c>
      <c r="J10" s="1" t="s">
        <v>0</v>
      </c>
      <c r="K10" s="1" t="s">
        <v>1</v>
      </c>
      <c r="L10" s="1" t="s">
        <v>2</v>
      </c>
      <c r="M10" s="1" t="s">
        <v>3</v>
      </c>
      <c r="N10" s="1" t="s">
        <v>4</v>
      </c>
      <c r="O10" s="1" t="s">
        <v>5</v>
      </c>
      <c r="P10" s="1" t="s">
        <v>6</v>
      </c>
      <c r="Q10" t="s">
        <v>16</v>
      </c>
    </row>
    <row r="11" spans="1:17" x14ac:dyDescent="0.25">
      <c r="A11" s="1">
        <v>8194950.2260122914</v>
      </c>
      <c r="B11" s="1">
        <v>32927.481154134221</v>
      </c>
      <c r="C11" s="1">
        <v>4392642.9549411759</v>
      </c>
      <c r="D11" s="1">
        <v>0</v>
      </c>
      <c r="E11" s="1">
        <v>263384.36025986943</v>
      </c>
      <c r="F11" s="1">
        <v>22757631.772069469</v>
      </c>
      <c r="G11" s="1">
        <v>3226688.5813725069</v>
      </c>
      <c r="H11">
        <f>Score(A11,B11,C11,D11,E11,F11,G11)</f>
        <v>2.9900002340128293</v>
      </c>
      <c r="J11" s="1">
        <v>10590933.750646269</v>
      </c>
      <c r="K11" s="1">
        <v>7419542.2593768034</v>
      </c>
      <c r="L11" s="1">
        <v>18818239.102339383</v>
      </c>
      <c r="M11" s="1">
        <v>7582473.3538478008</v>
      </c>
      <c r="N11" s="1">
        <v>181477.40281267333</v>
      </c>
      <c r="O11" s="1">
        <v>12077232.722287832</v>
      </c>
      <c r="P11" s="1">
        <v>7986206.0907057477</v>
      </c>
      <c r="Q11">
        <f t="shared" si="0"/>
        <v>2.9899994155313436</v>
      </c>
    </row>
    <row r="12" spans="1:17" x14ac:dyDescent="0.25">
      <c r="A12" s="1">
        <v>3769923.9796606023</v>
      </c>
      <c r="B12" s="1">
        <v>1633907.8494905292</v>
      </c>
      <c r="C12" s="1">
        <v>6773157.2726190807</v>
      </c>
      <c r="D12" s="1">
        <v>2764597.4037631284</v>
      </c>
      <c r="E12" s="1">
        <v>225918.21050808684</v>
      </c>
      <c r="F12" s="1">
        <v>23556818.756013054</v>
      </c>
      <c r="G12" s="1">
        <v>4282496.2177763572</v>
      </c>
      <c r="H12">
        <f>Score(A12,B12,C12,D12,E12,F12,G12)</f>
        <v>2.9899998310622689</v>
      </c>
      <c r="J12" s="1">
        <v>0</v>
      </c>
      <c r="K12" s="1">
        <v>6153846.5165428733</v>
      </c>
      <c r="L12" s="1">
        <v>11594597.022561433</v>
      </c>
      <c r="M12" s="1">
        <v>5864474.8019241188</v>
      </c>
      <c r="N12" s="1">
        <v>481344.04376862483</v>
      </c>
      <c r="O12" s="1">
        <v>15782888.903859138</v>
      </c>
      <c r="P12" s="1">
        <v>6494014.0599036999</v>
      </c>
      <c r="Q12">
        <f t="shared" si="0"/>
        <v>2.9899993986038482</v>
      </c>
    </row>
    <row r="13" spans="1:17" x14ac:dyDescent="0.25">
      <c r="A13" s="1">
        <v>10574876.831754498</v>
      </c>
      <c r="B13" s="1">
        <v>5010158.2207188299</v>
      </c>
      <c r="C13" s="1">
        <v>14380318.734483358</v>
      </c>
      <c r="D13" s="1">
        <v>5226107.6813621698</v>
      </c>
      <c r="E13" s="1">
        <v>345157.83539438143</v>
      </c>
      <c r="F13" s="1">
        <v>12530798.814140135</v>
      </c>
      <c r="G13" s="1">
        <v>5815060.4245124208</v>
      </c>
      <c r="H13">
        <f>Score(A13,B13,C13,D13,E13,F13,G13)</f>
        <v>2.9899988076261939</v>
      </c>
      <c r="J13" s="1">
        <v>8490565.1198127549</v>
      </c>
      <c r="K13" s="1">
        <v>7722881.740143911</v>
      </c>
      <c r="L13" s="1">
        <v>18384465.173108809</v>
      </c>
      <c r="M13" s="1">
        <v>7681740.354004248</v>
      </c>
      <c r="N13" s="1">
        <v>138894.48620945864</v>
      </c>
      <c r="O13" s="1">
        <v>10506592.990366135</v>
      </c>
      <c r="P13" s="1">
        <v>8481765.1228829045</v>
      </c>
      <c r="Q13">
        <f t="shared" si="0"/>
        <v>2.99000059885591</v>
      </c>
    </row>
    <row r="14" spans="1:17" x14ac:dyDescent="0.25">
      <c r="A14" s="1">
        <v>6062095.1447407566</v>
      </c>
      <c r="B14" s="1">
        <v>2614611.1062427079</v>
      </c>
      <c r="C14" s="1">
        <v>7683845.5160234105</v>
      </c>
      <c r="D14" s="1">
        <v>2762278.0013775211</v>
      </c>
      <c r="E14" s="1">
        <v>148700.75559884522</v>
      </c>
      <c r="F14" s="1">
        <v>16490434.380906688</v>
      </c>
      <c r="G14" s="1">
        <v>2885527.6765220617</v>
      </c>
      <c r="H14">
        <f>Score(A14,B14,C14,D14,E14,F14,G14)</f>
        <v>2.9900005392628501</v>
      </c>
      <c r="J14" s="1">
        <v>0</v>
      </c>
      <c r="K14" s="1">
        <v>7690651.3481127536</v>
      </c>
      <c r="L14" s="1">
        <v>14734714.982909512</v>
      </c>
      <c r="M14" s="1">
        <v>7548212.2089512954</v>
      </c>
      <c r="N14" s="1">
        <v>363377.95950793021</v>
      </c>
      <c r="O14" s="1">
        <v>24935016.814105347</v>
      </c>
      <c r="P14" s="1">
        <v>8260207.0934548574</v>
      </c>
      <c r="Q14">
        <f t="shared" si="0"/>
        <v>2.9899999084379076</v>
      </c>
    </row>
    <row r="15" spans="1:17" x14ac:dyDescent="0.25">
      <c r="A15" s="1">
        <v>11833313.5962703</v>
      </c>
      <c r="B15" s="1">
        <v>2205436.4147543553</v>
      </c>
      <c r="C15" s="1">
        <v>9322924.4672181942</v>
      </c>
      <c r="D15" s="1">
        <v>2247458.9663388869</v>
      </c>
      <c r="E15" s="1">
        <v>200060.01900288966</v>
      </c>
      <c r="F15" s="1">
        <v>13383175.794841314</v>
      </c>
      <c r="G15" s="1">
        <v>3090807.5445858589</v>
      </c>
      <c r="H15">
        <f>Score(A15,B15,C15,D15,E15,F15,G15)</f>
        <v>2.9899992901671157</v>
      </c>
      <c r="J15" s="1">
        <v>9527177.9129525796</v>
      </c>
      <c r="K15" s="1">
        <v>6780872.1683195513</v>
      </c>
      <c r="L15" s="1">
        <v>17394505.899013568</v>
      </c>
      <c r="M15" s="1">
        <v>7035396.2362881918</v>
      </c>
      <c r="N15" s="1">
        <v>201222.52548779047</v>
      </c>
      <c r="O15" s="1">
        <v>13648798.897380382</v>
      </c>
      <c r="P15" s="1">
        <v>7720780.3034551656</v>
      </c>
      <c r="Q15">
        <f t="shared" si="0"/>
        <v>2.9899997702529801</v>
      </c>
    </row>
    <row r="16" spans="1:17" x14ac:dyDescent="0.25">
      <c r="J16" s="1">
        <v>0</v>
      </c>
      <c r="K16" s="1">
        <v>10944741.342820678</v>
      </c>
      <c r="L16" s="1">
        <v>21129994.128980059</v>
      </c>
      <c r="M16" s="1">
        <v>11011471.767272772</v>
      </c>
      <c r="N16" s="1">
        <v>200503.0349114057</v>
      </c>
      <c r="O16" s="1">
        <v>22985937.08583273</v>
      </c>
      <c r="P16" s="1">
        <v>11419029.082936037</v>
      </c>
      <c r="Q16">
        <f t="shared" si="0"/>
        <v>2.9900005048011158</v>
      </c>
    </row>
    <row r="17" spans="1:17" x14ac:dyDescent="0.25">
      <c r="A17" s="1" t="s">
        <v>0</v>
      </c>
      <c r="B17" s="1" t="s">
        <v>1</v>
      </c>
      <c r="C17" s="1" t="s">
        <v>2</v>
      </c>
      <c r="D17" s="1" t="s">
        <v>3</v>
      </c>
      <c r="E17" s="1" t="s">
        <v>4</v>
      </c>
      <c r="F17" s="1" t="s">
        <v>5</v>
      </c>
      <c r="G17" s="1" t="s">
        <v>6</v>
      </c>
      <c r="H17" t="s">
        <v>16</v>
      </c>
      <c r="J17" s="1">
        <v>0</v>
      </c>
      <c r="K17" s="1">
        <v>7150598.7832678054</v>
      </c>
      <c r="L17" s="1">
        <v>14032070.006584102</v>
      </c>
      <c r="M17" s="1">
        <v>7296160.1686798846</v>
      </c>
      <c r="N17" s="1">
        <v>207118.12216203567</v>
      </c>
      <c r="O17" s="1">
        <v>16268209.494697023</v>
      </c>
      <c r="P17" s="1">
        <v>7768272.5440066289</v>
      </c>
      <c r="Q17">
        <f t="shared" si="0"/>
        <v>2.989997939061686</v>
      </c>
    </row>
    <row r="18" spans="1:17" x14ac:dyDescent="0.25">
      <c r="A18" s="1">
        <v>6080711.966095998</v>
      </c>
      <c r="B18" s="1">
        <v>5670270.8566943649</v>
      </c>
      <c r="C18" s="1">
        <v>14090987.090664694</v>
      </c>
      <c r="D18" s="1">
        <v>6129952.1891741678</v>
      </c>
      <c r="E18" s="1">
        <v>307508.70081618056</v>
      </c>
      <c r="F18" s="1">
        <v>20049400.761141684</v>
      </c>
      <c r="G18" s="1">
        <v>6544853.9822883978</v>
      </c>
      <c r="H18">
        <f>Score(A18,B18,C18,D18,E18,F18,G18)</f>
        <v>2.9900004433747873</v>
      </c>
    </row>
    <row r="19" spans="1:17" x14ac:dyDescent="0.25">
      <c r="A19" s="1">
        <v>0</v>
      </c>
      <c r="B19" s="1">
        <v>5459632.5256461371</v>
      </c>
      <c r="C19" s="1">
        <v>11225068.420462957</v>
      </c>
      <c r="D19" s="1">
        <v>5989696.5666750707</v>
      </c>
      <c r="E19" s="1">
        <v>366332.36109159159</v>
      </c>
      <c r="F19" s="1">
        <v>22745228.779963262</v>
      </c>
      <c r="G19" s="1">
        <v>6051041.8382846303</v>
      </c>
      <c r="H19">
        <f>Score(A19,B19,C19,D19,E19,F19,G19)</f>
        <v>2.9899994937418852</v>
      </c>
      <c r="J19" s="1" t="s">
        <v>0</v>
      </c>
      <c r="K19" s="1" t="s">
        <v>1</v>
      </c>
      <c r="L19" s="1" t="s">
        <v>2</v>
      </c>
      <c r="M19" s="1" t="s">
        <v>3</v>
      </c>
      <c r="N19" s="1" t="s">
        <v>4</v>
      </c>
      <c r="O19" s="1" t="s">
        <v>5</v>
      </c>
      <c r="P19" s="1" t="s">
        <v>6</v>
      </c>
      <c r="Q19" t="s">
        <v>16</v>
      </c>
    </row>
    <row r="20" spans="1:17" x14ac:dyDescent="0.25">
      <c r="A20" s="1">
        <v>1187476.6549465412</v>
      </c>
      <c r="B20" s="1">
        <v>4059224.5787927005</v>
      </c>
      <c r="C20" s="1">
        <v>9028483.944684159</v>
      </c>
      <c r="D20" s="1">
        <v>4454798.8553180899</v>
      </c>
      <c r="E20" s="1">
        <v>372690.58650058781</v>
      </c>
      <c r="F20" s="1">
        <v>21183830.867516264</v>
      </c>
      <c r="G20" s="1">
        <v>5096231.9285131721</v>
      </c>
      <c r="H20">
        <f>Score(A20,B20,C20,D20,E20,F20,G20)</f>
        <v>2.9899994543754698</v>
      </c>
      <c r="J20" s="1">
        <v>0</v>
      </c>
      <c r="K20" s="1">
        <v>8835429.1025286559</v>
      </c>
      <c r="L20" s="1">
        <v>16672834.736973323</v>
      </c>
      <c r="M20" s="1">
        <v>8557250.2886238191</v>
      </c>
      <c r="N20" s="1">
        <v>203100.18178663781</v>
      </c>
      <c r="O20" s="1">
        <v>19775224.555905558</v>
      </c>
      <c r="P20" s="1">
        <v>9149613.877057476</v>
      </c>
      <c r="Q20">
        <f t="shared" si="0"/>
        <v>2.9899974489468617</v>
      </c>
    </row>
    <row r="21" spans="1:17" x14ac:dyDescent="0.25">
      <c r="A21" s="1">
        <v>12006085.268608276</v>
      </c>
      <c r="B21" s="1">
        <v>667518.08977535204</v>
      </c>
      <c r="C21" s="1">
        <v>6906976.5483349776</v>
      </c>
      <c r="D21" s="1">
        <v>739731.38845061907</v>
      </c>
      <c r="E21" s="1">
        <v>487544.71895439847</v>
      </c>
      <c r="F21" s="1">
        <v>25289440.321313143</v>
      </c>
      <c r="G21" s="1">
        <v>2791814.7399483067</v>
      </c>
      <c r="H21">
        <f>Score(A21,B21,C21,D21,E21,F21,G21)</f>
        <v>2.9899997584616602</v>
      </c>
      <c r="J21" s="1">
        <v>792874.21266172279</v>
      </c>
      <c r="K21" s="1">
        <v>10702368.589115649</v>
      </c>
      <c r="L21" s="1">
        <v>20957035.205276314</v>
      </c>
      <c r="M21" s="1">
        <v>10784336.967647217</v>
      </c>
      <c r="N21" s="1">
        <v>208193.92516029187</v>
      </c>
      <c r="O21" s="1">
        <v>21365300.190243829</v>
      </c>
      <c r="P21" s="1">
        <v>11026986.759497967</v>
      </c>
      <c r="Q21">
        <f t="shared" si="0"/>
        <v>2.9900014762175648</v>
      </c>
    </row>
    <row r="22" spans="1:17" x14ac:dyDescent="0.25">
      <c r="A22" s="1">
        <v>5050371.4253548561</v>
      </c>
      <c r="B22" s="1">
        <v>3292178.0369550032</v>
      </c>
      <c r="C22" s="1">
        <v>8801975.7146725561</v>
      </c>
      <c r="D22" s="1">
        <v>3481803.6171525251</v>
      </c>
      <c r="E22" s="1">
        <v>464793.62603678205</v>
      </c>
      <c r="F22" s="1">
        <v>11384375.384901078</v>
      </c>
      <c r="G22" s="1">
        <v>3946779.8807447101</v>
      </c>
      <c r="H22">
        <f>Score(A22,B22,C22,D22,E22,F22,G22)</f>
        <v>2.9899987845477378</v>
      </c>
      <c r="J22" s="1">
        <v>4214022.6011099759</v>
      </c>
      <c r="K22" s="1">
        <v>9011461.4260680396</v>
      </c>
      <c r="L22" s="1">
        <v>18945885.754600108</v>
      </c>
      <c r="M22" s="1">
        <v>8935718.2391220797</v>
      </c>
      <c r="N22" s="1">
        <v>255608.25233077718</v>
      </c>
      <c r="O22" s="1">
        <v>14911517.550463583</v>
      </c>
      <c r="P22" s="1">
        <v>9301888.5061622895</v>
      </c>
      <c r="Q22">
        <f t="shared" si="0"/>
        <v>2.9899994692738012</v>
      </c>
    </row>
    <row r="23" spans="1:17" x14ac:dyDescent="0.25">
      <c r="J23" s="1">
        <v>4986812.9650436006</v>
      </c>
      <c r="K23" s="1">
        <v>7202345.6816759752</v>
      </c>
      <c r="L23" s="1">
        <v>16399580.073673623</v>
      </c>
      <c r="M23" s="1">
        <v>7603856.3040302293</v>
      </c>
      <c r="N23" s="1">
        <v>267147.67370919726</v>
      </c>
      <c r="O23" s="1">
        <v>18313139.772931438</v>
      </c>
      <c r="P23" s="1">
        <v>7738740.8209338738</v>
      </c>
      <c r="Q23">
        <f t="shared" si="0"/>
        <v>2.9899989542937426</v>
      </c>
    </row>
    <row r="24" spans="1:17" x14ac:dyDescent="0.25">
      <c r="A24" s="1" t="s">
        <v>0</v>
      </c>
      <c r="B24" s="1" t="s">
        <v>1</v>
      </c>
      <c r="C24" s="1" t="s">
        <v>2</v>
      </c>
      <c r="D24" s="1" t="s">
        <v>3</v>
      </c>
      <c r="E24" s="1" t="s">
        <v>4</v>
      </c>
      <c r="F24" s="1" t="s">
        <v>5</v>
      </c>
      <c r="G24" s="1" t="s">
        <v>6</v>
      </c>
      <c r="H24" t="s">
        <v>16</v>
      </c>
      <c r="J24" s="1">
        <v>1550704.420528552</v>
      </c>
      <c r="K24" s="1">
        <v>5521398.47335348</v>
      </c>
      <c r="L24" s="1">
        <v>11814880.623604041</v>
      </c>
      <c r="M24" s="1">
        <v>5862099.2807743223</v>
      </c>
      <c r="N24" s="1">
        <v>450168.86268580938</v>
      </c>
      <c r="O24" s="1">
        <v>16092883.310184</v>
      </c>
      <c r="P24" s="1">
        <v>6198656.9998783451</v>
      </c>
      <c r="Q24">
        <f t="shared" si="0"/>
        <v>2.9899996468497827</v>
      </c>
    </row>
    <row r="25" spans="1:17" x14ac:dyDescent="0.25">
      <c r="A25" s="1">
        <v>2751779.5014439616</v>
      </c>
      <c r="B25" s="1">
        <v>6417509.9118839148</v>
      </c>
      <c r="C25" s="1">
        <v>14251344.083695913</v>
      </c>
      <c r="D25" s="1">
        <v>7000770.4736343138</v>
      </c>
      <c r="E25" s="1">
        <v>189336.85263564912</v>
      </c>
      <c r="F25" s="1">
        <v>21860214.190359294</v>
      </c>
      <c r="G25" s="1">
        <v>7155419.9586601891</v>
      </c>
      <c r="H25">
        <f>Score(A25,B25,C25,D25,E25,F25,G25)</f>
        <v>2.9899998786452775</v>
      </c>
      <c r="J25" s="1">
        <v>0</v>
      </c>
      <c r="K25" s="1">
        <v>6936228.2910957187</v>
      </c>
      <c r="L25" s="1">
        <v>13479529.824013526</v>
      </c>
      <c r="M25" s="1">
        <v>7103544.7965702247</v>
      </c>
      <c r="N25" s="1">
        <v>228430.97107263011</v>
      </c>
      <c r="O25" s="1">
        <v>17346173.512280963</v>
      </c>
      <c r="P25" s="1">
        <v>7051911.6193141527</v>
      </c>
      <c r="Q25">
        <f t="shared" si="0"/>
        <v>2.9899992403069859</v>
      </c>
    </row>
    <row r="26" spans="1:17" x14ac:dyDescent="0.25">
      <c r="A26" s="1">
        <v>2387129.06287794</v>
      </c>
      <c r="B26" s="1">
        <v>313814.62168657611</v>
      </c>
      <c r="C26" s="1">
        <v>4935695.889693792</v>
      </c>
      <c r="D26" s="1">
        <v>2817013.8019758924</v>
      </c>
      <c r="E26" s="1">
        <v>230874.21724794767</v>
      </c>
      <c r="F26" s="1">
        <v>35369790.840740189</v>
      </c>
      <c r="G26" s="1">
        <v>2140499</v>
      </c>
      <c r="H26">
        <f>Score(A26,B26,C26,D26,E26,F26,G26)</f>
        <v>2.9899998299948454</v>
      </c>
      <c r="J26" s="1">
        <v>2114903.9588260008</v>
      </c>
      <c r="K26" s="1">
        <v>8760692.5734819677</v>
      </c>
      <c r="L26" s="1">
        <v>18090290.673956387</v>
      </c>
      <c r="M26" s="1">
        <v>8996601.289007945</v>
      </c>
      <c r="N26" s="1">
        <v>309545.82570080098</v>
      </c>
      <c r="O26" s="1">
        <v>18703874.142635033</v>
      </c>
      <c r="P26" s="1">
        <v>9428099.8622687701</v>
      </c>
      <c r="Q26">
        <f t="shared" si="0"/>
        <v>2.9899986694978695</v>
      </c>
    </row>
    <row r="27" spans="1:17" x14ac:dyDescent="0.25">
      <c r="A27" s="1">
        <v>2290843.2990059992</v>
      </c>
      <c r="B27" s="1">
        <v>1375541.7374261019</v>
      </c>
      <c r="C27" s="1">
        <v>6934967.3614427708</v>
      </c>
      <c r="D27" s="1">
        <v>3393179.3449534811</v>
      </c>
      <c r="E27" s="1">
        <v>225347.30675669154</v>
      </c>
      <c r="F27" s="1">
        <v>25766048.571482573</v>
      </c>
      <c r="G27" s="1">
        <v>4831729.1600063154</v>
      </c>
      <c r="H27">
        <f>Score(A27,B27,C27,D27,E27,F27,G27)</f>
        <v>2.9899998229195708</v>
      </c>
    </row>
    <row r="28" spans="1:17" x14ac:dyDescent="0.25">
      <c r="A28" s="1">
        <v>9522137.1545276064</v>
      </c>
      <c r="B28" s="1">
        <v>4271325.9191869153</v>
      </c>
      <c r="C28" s="1">
        <v>12551573.879902383</v>
      </c>
      <c r="D28" s="1">
        <v>4454576.2394907773</v>
      </c>
      <c r="E28" s="1">
        <v>216934.95512016199</v>
      </c>
      <c r="F28" s="1">
        <v>12208089.186596492</v>
      </c>
      <c r="G28" s="1">
        <v>5294137.1660089297</v>
      </c>
      <c r="H28">
        <f>Score(A28,B28,C28,D28,E28,F28,G28)</f>
        <v>2.9899986256963773</v>
      </c>
      <c r="J28" s="1" t="s">
        <v>0</v>
      </c>
      <c r="K28" s="1" t="s">
        <v>1</v>
      </c>
      <c r="L28" s="1" t="s">
        <v>2</v>
      </c>
      <c r="M28" s="1" t="s">
        <v>3</v>
      </c>
      <c r="N28" s="1" t="s">
        <v>4</v>
      </c>
      <c r="O28" s="1" t="s">
        <v>5</v>
      </c>
      <c r="P28" s="1" t="s">
        <v>6</v>
      </c>
      <c r="Q28" t="s">
        <v>16</v>
      </c>
    </row>
    <row r="29" spans="1:17" x14ac:dyDescent="0.25">
      <c r="A29" s="1">
        <v>6009344.268129128</v>
      </c>
      <c r="B29" s="1">
        <v>248531.8813237893</v>
      </c>
      <c r="C29" s="1">
        <v>5897004.4497977057</v>
      </c>
      <c r="D29" s="1">
        <v>1849991.0743997151</v>
      </c>
      <c r="E29" s="1">
        <v>103669.80191443126</v>
      </c>
      <c r="F29" s="1">
        <v>28698217.15132425</v>
      </c>
      <c r="G29" s="1">
        <v>3959092.7095405329</v>
      </c>
      <c r="H29">
        <f>Score(A29,B29,C29,D29,E29,F29,G29)</f>
        <v>2.9900000103532163</v>
      </c>
      <c r="J29" s="1">
        <v>9189431.3896005768</v>
      </c>
      <c r="K29" s="1">
        <v>6203040.8936599968</v>
      </c>
      <c r="L29" s="1">
        <v>16180046.125814507</v>
      </c>
      <c r="M29" s="1">
        <v>6446101.8835124187</v>
      </c>
      <c r="N29" s="1">
        <v>479803.91763134906</v>
      </c>
      <c r="O29" s="1">
        <v>13075025.007242899</v>
      </c>
      <c r="P29" s="1">
        <v>7045401.2209507283</v>
      </c>
      <c r="Q29">
        <f t="shared" si="0"/>
        <v>2.989998572333862</v>
      </c>
    </row>
    <row r="30" spans="1:17" x14ac:dyDescent="0.25">
      <c r="A30" s="1">
        <v>0</v>
      </c>
      <c r="B30" s="1">
        <v>1829113.965349423</v>
      </c>
      <c r="C30" s="1">
        <v>0</v>
      </c>
      <c r="D30" s="1">
        <v>2009333.0237173804</v>
      </c>
      <c r="E30" s="1">
        <v>487351.03498346393</v>
      </c>
      <c r="F30" s="1">
        <v>19585242.079551946</v>
      </c>
      <c r="G30" s="1">
        <v>2662468.6719693388</v>
      </c>
      <c r="J30" s="1">
        <v>12709338.590024102</v>
      </c>
      <c r="K30" s="1">
        <v>6201025.6385477232</v>
      </c>
      <c r="L30" s="1">
        <v>17348233.394971911</v>
      </c>
      <c r="M30" s="1">
        <v>6426940.6274835337</v>
      </c>
      <c r="N30" s="1">
        <v>446485.79459168791</v>
      </c>
      <c r="O30" s="1">
        <v>11641122.036521211</v>
      </c>
      <c r="P30" s="1">
        <v>6336790.3500720272</v>
      </c>
      <c r="Q30">
        <f t="shared" si="0"/>
        <v>2.9900004862030647</v>
      </c>
    </row>
    <row r="31" spans="1:17" x14ac:dyDescent="0.25">
      <c r="J31" s="1">
        <v>5149810.3828432309</v>
      </c>
      <c r="K31" s="1">
        <v>6852105.6348237926</v>
      </c>
      <c r="L31" s="1">
        <v>15764285.562245043</v>
      </c>
      <c r="M31" s="1">
        <v>7265306.9627881516</v>
      </c>
      <c r="N31" s="1">
        <v>324327.19132553117</v>
      </c>
      <c r="O31" s="1">
        <v>18508616.660171043</v>
      </c>
      <c r="P31" s="1">
        <v>7228461.8955649892</v>
      </c>
      <c r="Q31">
        <f t="shared" si="0"/>
        <v>2.9899997356051862</v>
      </c>
    </row>
    <row r="32" spans="1:17" x14ac:dyDescent="0.25">
      <c r="A32" s="1" t="s">
        <v>0</v>
      </c>
      <c r="B32" s="1" t="s">
        <v>1</v>
      </c>
      <c r="C32" s="1" t="s">
        <v>2</v>
      </c>
      <c r="D32" s="1" t="s">
        <v>3</v>
      </c>
      <c r="E32" s="1" t="s">
        <v>4</v>
      </c>
      <c r="F32" s="1" t="s">
        <v>5</v>
      </c>
      <c r="G32" s="1" t="s">
        <v>6</v>
      </c>
      <c r="H32" s="1" t="s">
        <v>16</v>
      </c>
      <c r="J32" s="1">
        <v>0</v>
      </c>
      <c r="K32" s="1">
        <v>10181682.949008085</v>
      </c>
      <c r="L32" s="1">
        <v>19846592.643837564</v>
      </c>
      <c r="M32" s="1">
        <v>10547816.382171895</v>
      </c>
      <c r="N32" s="1">
        <v>182822.15836595147</v>
      </c>
      <c r="O32" s="1">
        <v>24899654.854171306</v>
      </c>
      <c r="P32" s="1">
        <v>10201924.740122423</v>
      </c>
      <c r="Q32">
        <f t="shared" si="0"/>
        <v>2.9899996706082206</v>
      </c>
    </row>
    <row r="33" spans="1:17" x14ac:dyDescent="0.25">
      <c r="A33" s="1">
        <v>0</v>
      </c>
      <c r="B33" s="1">
        <v>2821378.7458769744</v>
      </c>
      <c r="C33" s="1">
        <v>6008396.2792752124</v>
      </c>
      <c r="D33" s="1">
        <v>3060944.6501115779</v>
      </c>
      <c r="E33" s="1">
        <v>304241.8692348121</v>
      </c>
      <c r="F33" s="1">
        <v>15459254.049868947</v>
      </c>
      <c r="G33" s="1">
        <v>3846959.7663633828</v>
      </c>
      <c r="H33">
        <f>Score(A33,B33,C33,D33,E33,F33,G33)</f>
        <v>2.9900005889761907</v>
      </c>
      <c r="J33" s="1">
        <v>3223660.3483708636</v>
      </c>
      <c r="K33" s="1">
        <v>10668168.370796636</v>
      </c>
      <c r="L33" s="1">
        <v>21924025.062138703</v>
      </c>
      <c r="M33" s="1">
        <v>10704922.298279261</v>
      </c>
      <c r="N33" s="1">
        <v>160630.00617723697</v>
      </c>
      <c r="O33" s="1">
        <v>19690998.992892116</v>
      </c>
      <c r="P33" s="1">
        <v>11326804.908702301</v>
      </c>
      <c r="Q33">
        <f t="shared" si="0"/>
        <v>2.9900010256182585</v>
      </c>
    </row>
    <row r="34" spans="1:17" x14ac:dyDescent="0.25">
      <c r="A34" s="1">
        <v>0</v>
      </c>
      <c r="B34" s="1">
        <v>5419670.6368057365</v>
      </c>
      <c r="C34" s="1">
        <v>11188856.818532616</v>
      </c>
      <c r="D34" s="1">
        <v>5969175.476073646</v>
      </c>
      <c r="E34" s="1">
        <v>465501.70678372652</v>
      </c>
      <c r="F34" s="1">
        <v>20842588.259615202</v>
      </c>
      <c r="G34" s="1">
        <v>6024940.441679419</v>
      </c>
      <c r="H34">
        <f t="shared" ref="H34:H36" si="1">Score(A34,B34,C34,D34,E34,F34,G34)</f>
        <v>2.9899989104605509</v>
      </c>
      <c r="J34" s="1">
        <v>8869182.5567933172</v>
      </c>
      <c r="K34" s="1">
        <v>5514380.7718852935</v>
      </c>
      <c r="L34" s="1">
        <v>14504367.552262368</v>
      </c>
      <c r="M34" s="1">
        <v>5673117.0573214535</v>
      </c>
      <c r="N34" s="1">
        <v>184275.54462196442</v>
      </c>
      <c r="O34" s="1">
        <v>9998207.9563904759</v>
      </c>
      <c r="P34" s="1">
        <v>6129354.6887079952</v>
      </c>
      <c r="Q34">
        <f t="shared" si="0"/>
        <v>2.9900001067479054</v>
      </c>
    </row>
    <row r="35" spans="1:17" x14ac:dyDescent="0.25">
      <c r="A35" s="1">
        <v>200718.5854773279</v>
      </c>
      <c r="B35" s="1">
        <v>862928.03254021029</v>
      </c>
      <c r="C35" s="1">
        <v>0</v>
      </c>
      <c r="D35" s="1">
        <v>881280.2964807275</v>
      </c>
      <c r="E35" s="1">
        <v>119127.43968866016</v>
      </c>
      <c r="F35" s="1">
        <v>14707556.876629727</v>
      </c>
      <c r="G35" s="1">
        <v>1340943.6819857918</v>
      </c>
      <c r="H35" t="e">
        <f t="shared" si="1"/>
        <v>#VALUE!</v>
      </c>
    </row>
    <row r="36" spans="1:17" x14ac:dyDescent="0.25">
      <c r="A36" s="1">
        <v>5858111.0498196464</v>
      </c>
      <c r="B36" s="1">
        <v>3413707.2340887934</v>
      </c>
      <c r="C36" s="1">
        <v>9458213.190865526</v>
      </c>
      <c r="D36" s="1">
        <v>3640025.2621929934</v>
      </c>
      <c r="E36" s="1">
        <v>279497.577456486</v>
      </c>
      <c r="F36" s="1">
        <v>16460502.3313607</v>
      </c>
      <c r="G36" s="1">
        <v>4367048.7321637264</v>
      </c>
      <c r="H36">
        <f t="shared" si="1"/>
        <v>2.9899990132821324</v>
      </c>
      <c r="J36" s="1" t="s">
        <v>0</v>
      </c>
      <c r="K36" s="1" t="s">
        <v>1</v>
      </c>
      <c r="L36" s="1" t="s">
        <v>2</v>
      </c>
      <c r="M36" s="1" t="s">
        <v>3</v>
      </c>
      <c r="N36" s="1" t="s">
        <v>4</v>
      </c>
      <c r="O36" s="1" t="s">
        <v>5</v>
      </c>
      <c r="P36" s="1" t="s">
        <v>6</v>
      </c>
      <c r="Q36" t="s">
        <v>16</v>
      </c>
    </row>
    <row r="37" spans="1:17" x14ac:dyDescent="0.25">
      <c r="J37" s="1">
        <v>0</v>
      </c>
      <c r="K37" s="1">
        <v>6850950.3652732586</v>
      </c>
      <c r="L37" s="1">
        <v>13738349.433270736</v>
      </c>
      <c r="M37" s="1">
        <v>7167823.2694337843</v>
      </c>
      <c r="N37" s="1">
        <v>296203.92773799191</v>
      </c>
      <c r="O37" s="1">
        <v>20264898.179093111</v>
      </c>
      <c r="P37" s="1">
        <v>7719744.4892778574</v>
      </c>
      <c r="Q37">
        <f t="shared" si="0"/>
        <v>2.9899994192708039</v>
      </c>
    </row>
    <row r="38" spans="1:17" x14ac:dyDescent="0.25">
      <c r="J38" s="1">
        <v>1563491.6291829769</v>
      </c>
      <c r="K38" s="1">
        <v>7073425.244386958</v>
      </c>
      <c r="L38" s="1">
        <v>14773230.532038417</v>
      </c>
      <c r="M38" s="1">
        <v>7532567.3446400594</v>
      </c>
      <c r="N38" s="1">
        <v>223791.67013170553</v>
      </c>
      <c r="O38" s="1">
        <v>19789630.788744614</v>
      </c>
      <c r="P38" s="1">
        <v>7442692.969672773</v>
      </c>
      <c r="Q38">
        <f t="shared" si="0"/>
        <v>2.9899990962847882</v>
      </c>
    </row>
    <row r="39" spans="1:17" x14ac:dyDescent="0.25">
      <c r="J39" s="1">
        <v>0</v>
      </c>
      <c r="K39" s="1">
        <v>9493009.0024928842</v>
      </c>
      <c r="L39" s="1">
        <v>18320095.013776906</v>
      </c>
      <c r="M39" s="1">
        <v>9602941.306384068</v>
      </c>
      <c r="N39" s="1">
        <v>494268.41089978768</v>
      </c>
      <c r="O39" s="1">
        <v>24931154.586356465</v>
      </c>
      <c r="P39" s="1">
        <v>9588802.2915288322</v>
      </c>
      <c r="Q39">
        <f t="shared" si="0"/>
        <v>2.9899983345907537</v>
      </c>
    </row>
    <row r="40" spans="1:17" x14ac:dyDescent="0.25">
      <c r="J40" s="1">
        <v>63296.036621015111</v>
      </c>
      <c r="K40" s="1">
        <v>6600551.5047869952</v>
      </c>
      <c r="L40" s="1">
        <v>12734848.090721799</v>
      </c>
      <c r="M40" s="1">
        <v>6536823.9298358867</v>
      </c>
      <c r="N40" s="1">
        <v>274546.58676162869</v>
      </c>
      <c r="O40" s="1">
        <v>23595664.103984516</v>
      </c>
      <c r="P40" s="1">
        <v>7107152.6448072372</v>
      </c>
      <c r="Q40">
        <f t="shared" si="0"/>
        <v>2.9900001231213267</v>
      </c>
    </row>
    <row r="41" spans="1:17" x14ac:dyDescent="0.25">
      <c r="J41" s="1">
        <v>0</v>
      </c>
      <c r="K41" s="1">
        <v>5993051.950537445</v>
      </c>
      <c r="L41" s="1">
        <v>11682503.90476956</v>
      </c>
      <c r="M41" s="1">
        <v>6163592.0275300536</v>
      </c>
      <c r="N41" s="1">
        <v>144798.09541249665</v>
      </c>
      <c r="O41" s="1">
        <v>16545814.704393851</v>
      </c>
      <c r="P41" s="1">
        <v>6145356.7108673099</v>
      </c>
      <c r="Q41">
        <f t="shared" si="0"/>
        <v>2.9899994571322606</v>
      </c>
    </row>
    <row r="42" spans="1:17" x14ac:dyDescent="0.25">
      <c r="J42" s="1">
        <v>2704512.6903524273</v>
      </c>
      <c r="K42" s="1">
        <v>5907774.0856620576</v>
      </c>
      <c r="L42" s="1">
        <v>12768216.209750641</v>
      </c>
      <c r="M42" s="1">
        <v>6174755.3054039795</v>
      </c>
      <c r="N42" s="1">
        <v>158122.91284567711</v>
      </c>
      <c r="O42" s="1">
        <v>14129637.493319983</v>
      </c>
      <c r="P42" s="1">
        <v>6204442.8484657649</v>
      </c>
      <c r="Q42">
        <f t="shared" si="0"/>
        <v>2.9899996750173576</v>
      </c>
    </row>
    <row r="43" spans="1:17" x14ac:dyDescent="0.25">
      <c r="J43" s="1">
        <v>0</v>
      </c>
      <c r="K43" s="1">
        <v>7838445.0510538984</v>
      </c>
      <c r="L43" s="1">
        <v>14560153.39318181</v>
      </c>
      <c r="M43" s="1">
        <v>7321048.8399629388</v>
      </c>
      <c r="N43" s="1">
        <v>448518.24083506549</v>
      </c>
      <c r="O43" s="1">
        <v>20521762.147833012</v>
      </c>
      <c r="P43" s="1">
        <v>8218825.3538702168</v>
      </c>
      <c r="Q43">
        <f t="shared" si="0"/>
        <v>2.9899976551167211</v>
      </c>
    </row>
    <row r="44" spans="1:17" x14ac:dyDescent="0.25">
      <c r="J44" s="1">
        <v>0</v>
      </c>
      <c r="K44" s="1">
        <v>7998972.6815680703</v>
      </c>
      <c r="L44" s="1">
        <v>15833857.07438788</v>
      </c>
      <c r="M44" s="1">
        <v>8440253.6720313709</v>
      </c>
      <c r="N44" s="1">
        <v>223201.61906410794</v>
      </c>
      <c r="O44" s="1">
        <v>24331351.696656894</v>
      </c>
      <c r="P44" s="1">
        <v>8212893.139435418</v>
      </c>
      <c r="Q44">
        <f t="shared" si="0"/>
        <v>2.9899997981311666</v>
      </c>
    </row>
    <row r="45" spans="1:17" x14ac:dyDescent="0.25">
      <c r="J45" s="1">
        <v>1347937.8688106975</v>
      </c>
      <c r="K45" s="1">
        <v>5493741.1971533364</v>
      </c>
      <c r="L45" s="1">
        <v>11474635.184022577</v>
      </c>
      <c r="M45" s="1">
        <v>5773729.087127177</v>
      </c>
      <c r="N45" s="1">
        <v>260821.71208598322</v>
      </c>
      <c r="O45" s="1">
        <v>14255971.992032757</v>
      </c>
      <c r="P45" s="1">
        <v>5826963.9151302762</v>
      </c>
      <c r="Q45">
        <f t="shared" si="0"/>
        <v>2.9900007086289175</v>
      </c>
    </row>
    <row r="46" spans="1:17" x14ac:dyDescent="0.25">
      <c r="J46" s="1">
        <v>578748.41702613898</v>
      </c>
      <c r="K46" s="1">
        <v>5724329.5202437593</v>
      </c>
      <c r="L46" s="1">
        <v>11664066.201136818</v>
      </c>
      <c r="M46" s="1">
        <v>6015200.1207916327</v>
      </c>
      <c r="N46" s="1">
        <v>407703.45040376595</v>
      </c>
      <c r="O46" s="1">
        <v>14954353.621554773</v>
      </c>
      <c r="P46" s="1">
        <v>6132151.7172965296</v>
      </c>
      <c r="Q46">
        <f t="shared" si="0"/>
        <v>2.9899983945905166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714B0-88A2-41BE-8A71-861B313ACB40}">
  <sheetPr codeName="Feuil8"/>
  <dimension ref="A1:Q46"/>
  <sheetViews>
    <sheetView topLeftCell="A14" workbookViewId="0">
      <selection activeCell="A32" sqref="A32:H36"/>
    </sheetView>
  </sheetViews>
  <sheetFormatPr baseColWidth="10" defaultRowHeight="15" x14ac:dyDescent="0.25"/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15</v>
      </c>
      <c r="J1" s="1" t="s">
        <v>0</v>
      </c>
      <c r="K1" s="1" t="s">
        <v>1</v>
      </c>
      <c r="L1" s="1" t="s">
        <v>2</v>
      </c>
      <c r="M1" s="1" t="s">
        <v>3</v>
      </c>
      <c r="N1" s="1" t="s">
        <v>4</v>
      </c>
      <c r="O1" s="1" t="s">
        <v>5</v>
      </c>
      <c r="P1" s="1" t="s">
        <v>6</v>
      </c>
      <c r="Q1" s="1" t="s">
        <v>15</v>
      </c>
    </row>
    <row r="2" spans="1:17" x14ac:dyDescent="0.25">
      <c r="A2">
        <v>5697159</v>
      </c>
      <c r="B2">
        <v>3196660</v>
      </c>
      <c r="C2">
        <v>24032434</v>
      </c>
      <c r="D2">
        <v>3096660</v>
      </c>
      <c r="E2">
        <v>123104</v>
      </c>
      <c r="F2">
        <v>18335275</v>
      </c>
      <c r="G2">
        <v>3669992</v>
      </c>
      <c r="H2">
        <v>1.0524954660427446</v>
      </c>
      <c r="J2" s="1">
        <v>25099</v>
      </c>
      <c r="K2" s="1">
        <v>4788760</v>
      </c>
      <c r="L2" s="1">
        <v>13566555</v>
      </c>
      <c r="M2" s="1">
        <v>4688760</v>
      </c>
      <c r="N2" s="1">
        <v>304782</v>
      </c>
      <c r="O2" s="1">
        <v>13541456</v>
      </c>
      <c r="P2" s="1">
        <v>5057196</v>
      </c>
      <c r="Q2">
        <v>2.022815501124966</v>
      </c>
    </row>
    <row r="3" spans="1:17" x14ac:dyDescent="0.25">
      <c r="A3">
        <v>7220041</v>
      </c>
      <c r="B3">
        <v>3141192</v>
      </c>
      <c r="C3">
        <v>19726999</v>
      </c>
      <c r="D3">
        <v>3041192</v>
      </c>
      <c r="E3">
        <v>113888</v>
      </c>
      <c r="F3">
        <v>12506958</v>
      </c>
      <c r="G3">
        <v>3469461</v>
      </c>
      <c r="H3">
        <v>1.3520263893393647</v>
      </c>
      <c r="J3" s="1">
        <v>14124528</v>
      </c>
      <c r="K3" s="1">
        <v>7460138</v>
      </c>
      <c r="L3" s="1">
        <v>24258979</v>
      </c>
      <c r="M3" s="1">
        <v>7360138</v>
      </c>
      <c r="N3" s="1">
        <v>458504</v>
      </c>
      <c r="O3" s="1">
        <v>10134451</v>
      </c>
      <c r="P3" s="1">
        <v>8241103</v>
      </c>
      <c r="Q3">
        <v>2.4969501235423692</v>
      </c>
    </row>
    <row r="4" spans="1:17" x14ac:dyDescent="0.25">
      <c r="A4">
        <v>162202</v>
      </c>
      <c r="B4">
        <v>2707649</v>
      </c>
      <c r="C4">
        <v>23575056</v>
      </c>
      <c r="D4">
        <v>2607649</v>
      </c>
      <c r="E4">
        <v>245758</v>
      </c>
      <c r="F4">
        <v>23412854</v>
      </c>
      <c r="G4">
        <v>3471145</v>
      </c>
      <c r="H4">
        <v>0.68745299725557452</v>
      </c>
      <c r="J4" s="1">
        <v>1559563</v>
      </c>
      <c r="K4" s="1">
        <v>8221100</v>
      </c>
      <c r="L4" s="1">
        <v>19201074</v>
      </c>
      <c r="M4" s="1">
        <v>8121100</v>
      </c>
      <c r="N4" s="1">
        <v>410821</v>
      </c>
      <c r="O4" s="1">
        <v>17641511</v>
      </c>
      <c r="P4" s="1">
        <v>8583139</v>
      </c>
      <c r="Q4">
        <v>2.5531636799767972</v>
      </c>
    </row>
    <row r="5" spans="1:17" x14ac:dyDescent="0.25">
      <c r="A5">
        <v>10279145</v>
      </c>
      <c r="B5">
        <v>4100015</v>
      </c>
      <c r="C5">
        <v>20671895</v>
      </c>
      <c r="D5">
        <v>4000015</v>
      </c>
      <c r="E5">
        <v>340240</v>
      </c>
      <c r="F5">
        <v>10392750</v>
      </c>
      <c r="G5">
        <v>4899009</v>
      </c>
      <c r="H5">
        <v>1.7693206625034377</v>
      </c>
      <c r="J5" s="1">
        <v>-7705792</v>
      </c>
      <c r="K5" s="1">
        <v>6297910</v>
      </c>
      <c r="L5" s="1">
        <v>13749043</v>
      </c>
      <c r="M5" s="1">
        <v>6197910</v>
      </c>
      <c r="N5" s="1">
        <v>223844</v>
      </c>
      <c r="O5" s="1">
        <v>21454835</v>
      </c>
      <c r="P5" s="1">
        <v>7004684</v>
      </c>
      <c r="Q5">
        <v>1.9715535379088278</v>
      </c>
    </row>
    <row r="6" spans="1:17" x14ac:dyDescent="0.25">
      <c r="A6">
        <v>-816657</v>
      </c>
      <c r="B6">
        <v>3314632</v>
      </c>
      <c r="C6">
        <v>15620529</v>
      </c>
      <c r="D6">
        <v>3214632</v>
      </c>
      <c r="E6">
        <v>223387</v>
      </c>
      <c r="F6">
        <v>16437186</v>
      </c>
      <c r="G6">
        <v>4061840</v>
      </c>
      <c r="H6">
        <v>1.1813897705145358</v>
      </c>
      <c r="J6" s="1">
        <v>11803165</v>
      </c>
      <c r="K6" s="1">
        <v>9120635</v>
      </c>
      <c r="L6" s="1">
        <v>24192612</v>
      </c>
      <c r="M6" s="1">
        <v>9020635</v>
      </c>
      <c r="N6" s="1">
        <v>189359</v>
      </c>
      <c r="O6" s="1">
        <v>12389447</v>
      </c>
      <c r="P6" s="1">
        <v>9397810</v>
      </c>
      <c r="Q6">
        <v>2.7409627818064171</v>
      </c>
    </row>
    <row r="7" spans="1:17" x14ac:dyDescent="0.25">
      <c r="A7">
        <v>-4693175</v>
      </c>
      <c r="B7">
        <v>2622315</v>
      </c>
      <c r="C7">
        <v>14177487</v>
      </c>
      <c r="D7">
        <v>2522315</v>
      </c>
      <c r="E7">
        <v>407920</v>
      </c>
      <c r="F7">
        <v>18870662</v>
      </c>
      <c r="G7">
        <v>2986883</v>
      </c>
      <c r="H7">
        <v>0.67225230100045819</v>
      </c>
      <c r="J7" s="1">
        <v>5183016</v>
      </c>
      <c r="K7" s="1">
        <v>8787655</v>
      </c>
      <c r="L7" s="1">
        <v>19195036</v>
      </c>
      <c r="M7" s="1">
        <v>8687655</v>
      </c>
      <c r="N7" s="1">
        <v>123284</v>
      </c>
      <c r="O7" s="1">
        <v>14012020</v>
      </c>
      <c r="P7" s="1">
        <v>9587930</v>
      </c>
      <c r="Q7">
        <v>2.9628114092384465</v>
      </c>
    </row>
    <row r="8" spans="1:17" x14ac:dyDescent="0.25">
      <c r="A8">
        <v>-5685903</v>
      </c>
      <c r="B8">
        <v>2132209</v>
      </c>
      <c r="C8">
        <v>12453407</v>
      </c>
      <c r="D8">
        <v>2032209</v>
      </c>
      <c r="E8">
        <v>308071</v>
      </c>
      <c r="F8">
        <v>18139310</v>
      </c>
      <c r="G8">
        <v>2642118</v>
      </c>
      <c r="H8">
        <v>0.45246067042608756</v>
      </c>
      <c r="J8" s="1">
        <v>2034404</v>
      </c>
      <c r="K8" s="1">
        <v>6354879</v>
      </c>
      <c r="L8" s="1">
        <v>20751230</v>
      </c>
      <c r="M8" s="1">
        <v>6254879</v>
      </c>
      <c r="N8" s="1">
        <v>326177</v>
      </c>
      <c r="O8" s="1">
        <v>18716826</v>
      </c>
      <c r="P8" s="1">
        <v>7279835</v>
      </c>
      <c r="Q8">
        <v>1.9019956661183672</v>
      </c>
    </row>
    <row r="10" spans="1:17" x14ac:dyDescent="0.25">
      <c r="A10" s="1" t="s">
        <v>0</v>
      </c>
      <c r="B10" s="1" t="s">
        <v>1</v>
      </c>
      <c r="C10" s="1" t="s">
        <v>2</v>
      </c>
      <c r="D10" s="1" t="s">
        <v>3</v>
      </c>
      <c r="E10" s="1" t="s">
        <v>4</v>
      </c>
      <c r="F10" s="1" t="s">
        <v>5</v>
      </c>
      <c r="G10" s="1" t="s">
        <v>6</v>
      </c>
      <c r="J10" s="1" t="s">
        <v>0</v>
      </c>
      <c r="K10" s="1" t="s">
        <v>1</v>
      </c>
      <c r="L10" s="1" t="s">
        <v>2</v>
      </c>
      <c r="M10" s="1" t="s">
        <v>3</v>
      </c>
      <c r="N10" s="1" t="s">
        <v>4</v>
      </c>
      <c r="O10" s="1" t="s">
        <v>5</v>
      </c>
      <c r="P10" s="1" t="s">
        <v>6</v>
      </c>
    </row>
    <row r="11" spans="1:17" x14ac:dyDescent="0.25">
      <c r="A11" s="1">
        <v>-4705002</v>
      </c>
      <c r="B11" s="1">
        <v>49854</v>
      </c>
      <c r="C11" s="1">
        <v>12760474</v>
      </c>
      <c r="D11" s="1">
        <v>-50146</v>
      </c>
      <c r="E11" s="1">
        <v>264554</v>
      </c>
      <c r="F11" s="1">
        <v>17465476</v>
      </c>
      <c r="G11" s="1">
        <v>1009722</v>
      </c>
      <c r="H11">
        <v>-0.36182077860307349</v>
      </c>
      <c r="J11" s="1">
        <v>10239761</v>
      </c>
      <c r="K11" s="1">
        <v>7216077</v>
      </c>
      <c r="L11" s="1">
        <v>22323551</v>
      </c>
      <c r="M11" s="1">
        <v>7116077</v>
      </c>
      <c r="N11" s="1">
        <v>181379</v>
      </c>
      <c r="O11" s="1">
        <v>12083790</v>
      </c>
      <c r="P11" s="1">
        <v>7815880</v>
      </c>
      <c r="Q11">
        <v>2.4137014122299512</v>
      </c>
    </row>
    <row r="12" spans="1:17" x14ac:dyDescent="0.25">
      <c r="A12" s="1">
        <v>-8007787</v>
      </c>
      <c r="B12" s="1">
        <v>2257975</v>
      </c>
      <c r="C12" s="1">
        <v>13637467</v>
      </c>
      <c r="D12" s="1">
        <v>2157975</v>
      </c>
      <c r="E12" s="1">
        <v>225825</v>
      </c>
      <c r="F12" s="1">
        <v>21645254</v>
      </c>
      <c r="G12" s="1">
        <v>3042758</v>
      </c>
      <c r="H12">
        <v>0.27851368457977776</v>
      </c>
      <c r="J12" s="1">
        <v>-5188964</v>
      </c>
      <c r="K12" s="1">
        <v>6301456</v>
      </c>
      <c r="L12" s="1">
        <v>10585803</v>
      </c>
      <c r="M12" s="1">
        <v>6201456</v>
      </c>
      <c r="N12" s="1">
        <v>481592</v>
      </c>
      <c r="O12" s="1">
        <v>15774767</v>
      </c>
      <c r="P12" s="1">
        <v>6609908</v>
      </c>
      <c r="Q12">
        <v>2.8205031348194871</v>
      </c>
    </row>
    <row r="13" spans="1:17" x14ac:dyDescent="0.25">
      <c r="A13" s="1">
        <v>9684313</v>
      </c>
      <c r="B13" s="1">
        <v>4759231</v>
      </c>
      <c r="C13" s="1">
        <v>22248542</v>
      </c>
      <c r="D13" s="1">
        <v>4659231</v>
      </c>
      <c r="E13" s="1">
        <v>344243</v>
      </c>
      <c r="F13" s="1">
        <v>12564229</v>
      </c>
      <c r="G13" s="1">
        <v>5569819</v>
      </c>
      <c r="H13">
        <v>1.779422605881855</v>
      </c>
      <c r="J13" s="1">
        <v>8443487</v>
      </c>
      <c r="K13" s="1">
        <v>7677471</v>
      </c>
      <c r="L13" s="1">
        <v>18950949</v>
      </c>
      <c r="M13" s="1">
        <v>7577471</v>
      </c>
      <c r="N13" s="1">
        <v>138883</v>
      </c>
      <c r="O13" s="1">
        <v>10507462</v>
      </c>
      <c r="P13" s="1">
        <v>8442581</v>
      </c>
      <c r="Q13">
        <v>2.8743007905340843</v>
      </c>
    </row>
    <row r="14" spans="1:17" x14ac:dyDescent="0.25">
      <c r="A14" s="1">
        <v>5206084</v>
      </c>
      <c r="B14" s="1">
        <v>2402015</v>
      </c>
      <c r="C14" s="1">
        <v>21742356</v>
      </c>
      <c r="D14" s="1">
        <v>2302015</v>
      </c>
      <c r="E14" s="1">
        <v>148290</v>
      </c>
      <c r="F14" s="1">
        <v>16536272</v>
      </c>
      <c r="G14" s="1">
        <v>2694615</v>
      </c>
      <c r="H14">
        <v>0.92058455878652834</v>
      </c>
      <c r="J14" s="1">
        <v>-10450267</v>
      </c>
      <c r="K14" s="1">
        <v>7723385</v>
      </c>
      <c r="L14" s="1">
        <v>14483512</v>
      </c>
      <c r="M14" s="1">
        <v>7623385</v>
      </c>
      <c r="N14" s="1">
        <v>363396</v>
      </c>
      <c r="O14" s="1">
        <v>24933779</v>
      </c>
      <c r="P14" s="1">
        <v>8287099</v>
      </c>
      <c r="Q14">
        <v>2.1980203761131691</v>
      </c>
    </row>
    <row r="15" spans="1:17" x14ac:dyDescent="0.25">
      <c r="A15" s="1">
        <v>9567109</v>
      </c>
      <c r="B15" s="1">
        <v>2080415</v>
      </c>
      <c r="C15" s="1">
        <v>23002305</v>
      </c>
      <c r="D15" s="1">
        <v>1980415</v>
      </c>
      <c r="E15" s="1">
        <v>199289</v>
      </c>
      <c r="F15" s="1">
        <v>13435196</v>
      </c>
      <c r="G15" s="1">
        <v>2915591</v>
      </c>
      <c r="H15">
        <v>1.0453681702725734</v>
      </c>
      <c r="J15" s="1">
        <v>9067748</v>
      </c>
      <c r="K15" s="1">
        <v>6505027</v>
      </c>
      <c r="L15" s="1">
        <v>22729020</v>
      </c>
      <c r="M15" s="1">
        <v>6405027</v>
      </c>
      <c r="N15" s="1">
        <v>201039</v>
      </c>
      <c r="O15" s="1">
        <v>13661272</v>
      </c>
      <c r="P15" s="1">
        <v>7461786</v>
      </c>
      <c r="Q15">
        <v>2.1461522138097835</v>
      </c>
    </row>
    <row r="16" spans="1:17" x14ac:dyDescent="0.25">
      <c r="J16" s="1">
        <v>-795227</v>
      </c>
      <c r="K16" s="1">
        <v>10817831</v>
      </c>
      <c r="L16" s="1">
        <v>22192778</v>
      </c>
      <c r="M16" s="1">
        <v>10717831</v>
      </c>
      <c r="N16" s="1">
        <v>200485</v>
      </c>
      <c r="O16" s="1">
        <v>22988005</v>
      </c>
      <c r="P16" s="1">
        <v>11319869</v>
      </c>
      <c r="Q16">
        <v>2.7479305289782454</v>
      </c>
    </row>
    <row r="17" spans="1:17" x14ac:dyDescent="0.25">
      <c r="A17" s="1" t="s">
        <v>0</v>
      </c>
      <c r="B17" s="1" t="s">
        <v>1</v>
      </c>
      <c r="C17" s="1" t="s">
        <v>2</v>
      </c>
      <c r="D17" s="1" t="s">
        <v>3</v>
      </c>
      <c r="E17" s="1" t="s">
        <v>4</v>
      </c>
      <c r="F17" s="1" t="s">
        <v>5</v>
      </c>
      <c r="G17" s="1" t="s">
        <v>6</v>
      </c>
      <c r="J17" s="1">
        <v>-467841</v>
      </c>
      <c r="K17" s="1">
        <v>6960226</v>
      </c>
      <c r="L17" s="1">
        <v>15805880</v>
      </c>
      <c r="M17" s="1">
        <v>6860226</v>
      </c>
      <c r="N17" s="1">
        <v>207048</v>
      </c>
      <c r="O17" s="1">
        <v>16273721</v>
      </c>
      <c r="P17" s="1">
        <v>7606049</v>
      </c>
      <c r="Q17">
        <v>2.5016483353282704</v>
      </c>
    </row>
    <row r="18" spans="1:17" x14ac:dyDescent="0.25">
      <c r="A18" s="1">
        <v>5640419</v>
      </c>
      <c r="B18" s="1">
        <v>5228828</v>
      </c>
      <c r="C18" s="1">
        <v>25743034</v>
      </c>
      <c r="D18" s="1">
        <v>5128828</v>
      </c>
      <c r="E18" s="1">
        <v>306697</v>
      </c>
      <c r="F18" s="1">
        <v>20102615</v>
      </c>
      <c r="G18" s="1">
        <v>6114153</v>
      </c>
      <c r="H18">
        <v>1.4511764045879667</v>
      </c>
    </row>
    <row r="19" spans="1:17" x14ac:dyDescent="0.25">
      <c r="A19" s="1">
        <v>-3225736</v>
      </c>
      <c r="B19" s="1">
        <v>4960797</v>
      </c>
      <c r="C19" s="1">
        <v>19580822</v>
      </c>
      <c r="D19" s="1">
        <v>4860797</v>
      </c>
      <c r="E19" s="1">
        <v>365350</v>
      </c>
      <c r="F19" s="1">
        <v>22806558</v>
      </c>
      <c r="G19" s="1">
        <v>5597803</v>
      </c>
      <c r="H19">
        <v>1.2714110296843359</v>
      </c>
      <c r="J19" s="1" t="s">
        <v>0</v>
      </c>
      <c r="K19" s="1" t="s">
        <v>1</v>
      </c>
      <c r="L19" s="1" t="s">
        <v>2</v>
      </c>
      <c r="M19" s="1" t="s">
        <v>3</v>
      </c>
      <c r="N19" s="1" t="s">
        <v>4</v>
      </c>
      <c r="O19" s="1" t="s">
        <v>5</v>
      </c>
      <c r="P19" s="1" t="s">
        <v>6</v>
      </c>
    </row>
    <row r="20" spans="1:17" x14ac:dyDescent="0.25">
      <c r="A20" s="1">
        <v>1153126</v>
      </c>
      <c r="B20" s="1">
        <v>3656309</v>
      </c>
      <c r="C20" s="1">
        <v>22435472</v>
      </c>
      <c r="D20" s="1">
        <v>3556309</v>
      </c>
      <c r="E20" s="1">
        <v>370975</v>
      </c>
      <c r="F20" s="1">
        <v>21282346</v>
      </c>
      <c r="G20" s="1">
        <v>4634339</v>
      </c>
      <c r="H20">
        <v>1.0297422458274885</v>
      </c>
      <c r="J20" s="1">
        <v>-4071868</v>
      </c>
      <c r="K20" s="1">
        <v>8971976</v>
      </c>
      <c r="L20" s="1">
        <v>15701038</v>
      </c>
      <c r="M20" s="1">
        <v>8871976</v>
      </c>
      <c r="N20" s="1">
        <v>203124</v>
      </c>
      <c r="O20" s="1">
        <v>19772906</v>
      </c>
      <c r="P20" s="1">
        <v>9253255</v>
      </c>
      <c r="Q20">
        <v>2.9483925803838336</v>
      </c>
    </row>
    <row r="21" spans="1:17" x14ac:dyDescent="0.25">
      <c r="A21" s="1">
        <v>-12405719</v>
      </c>
      <c r="B21" s="1">
        <v>749472</v>
      </c>
      <c r="C21" s="1">
        <v>11625342</v>
      </c>
      <c r="D21" s="1">
        <v>649472</v>
      </c>
      <c r="E21" s="1">
        <v>485882</v>
      </c>
      <c r="F21" s="1">
        <v>24031061</v>
      </c>
      <c r="G21" s="1">
        <v>1704025</v>
      </c>
      <c r="H21">
        <v>-0.84737226122610998</v>
      </c>
      <c r="J21" s="1">
        <v>792206</v>
      </c>
      <c r="K21" s="1">
        <v>10563750</v>
      </c>
      <c r="L21" s="1">
        <v>22159962</v>
      </c>
      <c r="M21" s="1">
        <v>10463750</v>
      </c>
      <c r="N21" s="1">
        <v>208170</v>
      </c>
      <c r="O21" s="1">
        <v>21367756</v>
      </c>
      <c r="P21" s="1">
        <v>10921264</v>
      </c>
      <c r="Q21">
        <v>2.7667081584741609</v>
      </c>
    </row>
    <row r="22" spans="1:17" x14ac:dyDescent="0.25">
      <c r="A22" s="1">
        <v>4585375</v>
      </c>
      <c r="B22" s="1">
        <v>3051865</v>
      </c>
      <c r="C22" s="1">
        <v>16049610</v>
      </c>
      <c r="D22" s="1">
        <v>2951865</v>
      </c>
      <c r="E22" s="1">
        <v>461580</v>
      </c>
      <c r="F22" s="1">
        <v>11464235</v>
      </c>
      <c r="G22" s="1">
        <v>3695361</v>
      </c>
      <c r="H22">
        <v>1.4701666042188455</v>
      </c>
      <c r="J22" s="1">
        <v>4210530</v>
      </c>
      <c r="K22" s="1">
        <v>8992874</v>
      </c>
      <c r="L22" s="1">
        <v>19122529</v>
      </c>
      <c r="M22" s="1">
        <v>8892874</v>
      </c>
      <c r="N22" s="1">
        <v>255600</v>
      </c>
      <c r="O22" s="1">
        <v>14911999</v>
      </c>
      <c r="P22" s="1">
        <v>9287741</v>
      </c>
      <c r="Q22">
        <v>2.9527610893913412</v>
      </c>
    </row>
    <row r="23" spans="1:17" x14ac:dyDescent="0.25">
      <c r="J23" s="1">
        <v>4819843</v>
      </c>
      <c r="K23" s="1">
        <v>6813112</v>
      </c>
      <c r="L23" s="1">
        <v>23154062</v>
      </c>
      <c r="M23" s="1">
        <v>6713112</v>
      </c>
      <c r="N23" s="1">
        <v>266841</v>
      </c>
      <c r="O23" s="1">
        <v>18334219</v>
      </c>
      <c r="P23" s="1">
        <v>7410181</v>
      </c>
      <c r="Q23">
        <v>1.9469759979674783</v>
      </c>
    </row>
    <row r="24" spans="1:17" x14ac:dyDescent="0.25">
      <c r="A24" s="1" t="s">
        <v>0</v>
      </c>
      <c r="B24" s="1" t="s">
        <v>1</v>
      </c>
      <c r="C24" s="1" t="s">
        <v>2</v>
      </c>
      <c r="D24" s="1" t="s">
        <v>3</v>
      </c>
      <c r="E24" s="1" t="s">
        <v>4</v>
      </c>
      <c r="F24" s="1" t="s">
        <v>5</v>
      </c>
      <c r="G24" s="1" t="s">
        <v>6</v>
      </c>
      <c r="J24" s="1">
        <v>1524804</v>
      </c>
      <c r="K24" s="1">
        <v>5173541</v>
      </c>
      <c r="L24" s="1">
        <v>17658795</v>
      </c>
      <c r="M24" s="1">
        <v>5073541</v>
      </c>
      <c r="N24" s="1">
        <v>449026</v>
      </c>
      <c r="O24" s="1">
        <v>16133991</v>
      </c>
      <c r="P24" s="1">
        <v>5878212</v>
      </c>
      <c r="Q24">
        <v>1.8111439104938636</v>
      </c>
    </row>
    <row r="25" spans="1:17" x14ac:dyDescent="0.25">
      <c r="A25" s="1">
        <v>2658190</v>
      </c>
      <c r="B25" s="1">
        <v>5882746</v>
      </c>
      <c r="C25" s="1">
        <v>24548838</v>
      </c>
      <c r="D25" s="1">
        <v>5782746</v>
      </c>
      <c r="E25" s="1">
        <v>189074</v>
      </c>
      <c r="F25" s="1">
        <v>21890648</v>
      </c>
      <c r="G25" s="1">
        <v>6665520</v>
      </c>
      <c r="H25">
        <v>1.5192087168496207</v>
      </c>
      <c r="J25" s="1">
        <v>-1946723</v>
      </c>
      <c r="K25" s="1">
        <v>6728620</v>
      </c>
      <c r="L25" s="1">
        <v>15406364</v>
      </c>
      <c r="M25" s="1">
        <v>6628620</v>
      </c>
      <c r="N25" s="1">
        <v>228340</v>
      </c>
      <c r="O25" s="1">
        <v>17353087</v>
      </c>
      <c r="P25" s="1">
        <v>6896293</v>
      </c>
      <c r="Q25">
        <v>2.3347155483481727</v>
      </c>
    </row>
    <row r="26" spans="1:17" x14ac:dyDescent="0.25">
      <c r="A26" s="1">
        <v>-3924307</v>
      </c>
      <c r="B26" s="1">
        <v>2011386</v>
      </c>
      <c r="C26" s="1">
        <v>20764602</v>
      </c>
      <c r="D26" s="1">
        <v>1911386</v>
      </c>
      <c r="E26" s="1">
        <v>231851</v>
      </c>
      <c r="F26" s="1">
        <v>24688909</v>
      </c>
      <c r="G26" s="1">
        <v>2140499</v>
      </c>
      <c r="H26">
        <v>0.32120544585633493</v>
      </c>
      <c r="J26" s="1">
        <v>2101397</v>
      </c>
      <c r="K26" s="1">
        <v>8502703</v>
      </c>
      <c r="L26" s="1">
        <v>20815120</v>
      </c>
      <c r="M26" s="1">
        <v>8402703</v>
      </c>
      <c r="N26" s="1">
        <v>309383</v>
      </c>
      <c r="O26" s="1">
        <v>18713723</v>
      </c>
      <c r="P26" s="1">
        <v>9212010</v>
      </c>
      <c r="Q26">
        <v>2.4772210291376418</v>
      </c>
    </row>
    <row r="27" spans="1:17" x14ac:dyDescent="0.25">
      <c r="A27" s="1">
        <v>-5527357</v>
      </c>
      <c r="B27" s="1">
        <v>2634310</v>
      </c>
      <c r="C27" s="1">
        <v>17167143</v>
      </c>
      <c r="D27" s="1">
        <v>2534310</v>
      </c>
      <c r="E27" s="1">
        <v>225513</v>
      </c>
      <c r="F27" s="1">
        <v>22694500</v>
      </c>
      <c r="G27" s="1">
        <v>3438036</v>
      </c>
      <c r="H27">
        <v>0.52165811657666439</v>
      </c>
    </row>
    <row r="28" spans="1:17" x14ac:dyDescent="0.25">
      <c r="A28" s="1">
        <v>8631307</v>
      </c>
      <c r="B28" s="1">
        <v>4043264</v>
      </c>
      <c r="C28" s="1">
        <v>20863713</v>
      </c>
      <c r="D28" s="1">
        <v>3943264</v>
      </c>
      <c r="E28" s="1">
        <v>216505</v>
      </c>
      <c r="F28" s="1">
        <v>12232406</v>
      </c>
      <c r="G28" s="1">
        <v>5041157</v>
      </c>
      <c r="H28">
        <v>1.6434557400322403</v>
      </c>
      <c r="J28" s="1" t="s">
        <v>0</v>
      </c>
      <c r="K28" s="1" t="s">
        <v>1</v>
      </c>
      <c r="L28" s="1" t="s">
        <v>2</v>
      </c>
      <c r="M28" s="1" t="s">
        <v>3</v>
      </c>
      <c r="N28" s="1" t="s">
        <v>4</v>
      </c>
      <c r="O28" s="1" t="s">
        <v>5</v>
      </c>
      <c r="P28" s="1" t="s">
        <v>6</v>
      </c>
    </row>
    <row r="29" spans="1:17" x14ac:dyDescent="0.25">
      <c r="A29" s="1">
        <v>-6873012</v>
      </c>
      <c r="B29" s="1">
        <v>1468236</v>
      </c>
      <c r="C29" s="1">
        <v>16714157</v>
      </c>
      <c r="D29" s="1">
        <v>1368236</v>
      </c>
      <c r="E29" s="1">
        <v>103916</v>
      </c>
      <c r="F29" s="1">
        <v>23587169</v>
      </c>
      <c r="G29" s="1">
        <v>1876747</v>
      </c>
      <c r="H29">
        <v>1.4487523577583251E-2</v>
      </c>
      <c r="J29" s="1">
        <v>8695609</v>
      </c>
      <c r="K29" s="1">
        <v>5934684</v>
      </c>
      <c r="L29" s="1">
        <v>21803518</v>
      </c>
      <c r="M29" s="1">
        <v>5834684</v>
      </c>
      <c r="N29" s="1">
        <v>478604</v>
      </c>
      <c r="O29" s="1">
        <v>13107909</v>
      </c>
      <c r="P29" s="1">
        <v>6794410</v>
      </c>
      <c r="Q29">
        <v>2.0759504603947008</v>
      </c>
    </row>
    <row r="30" spans="1:17" x14ac:dyDescent="0.25">
      <c r="A30" s="1">
        <v>-225852</v>
      </c>
      <c r="B30" s="1">
        <v>1566182</v>
      </c>
      <c r="C30" s="1">
        <v>19721372</v>
      </c>
      <c r="D30" s="1">
        <v>1466182</v>
      </c>
      <c r="E30" s="1">
        <v>478732</v>
      </c>
      <c r="F30" s="1">
        <v>19947224</v>
      </c>
      <c r="G30" s="1">
        <v>2268761</v>
      </c>
      <c r="H30">
        <v>0.47210265997456147</v>
      </c>
      <c r="J30" s="1">
        <v>11842621</v>
      </c>
      <c r="K30" s="1">
        <v>5946111</v>
      </c>
      <c r="L30" s="1">
        <v>23514900</v>
      </c>
      <c r="M30" s="1">
        <v>5846111</v>
      </c>
      <c r="N30" s="1">
        <v>445298</v>
      </c>
      <c r="O30" s="1">
        <v>11672279</v>
      </c>
      <c r="P30" s="1">
        <v>6142666</v>
      </c>
      <c r="Q30">
        <v>2.0626346260137094</v>
      </c>
    </row>
    <row r="31" spans="1:17" x14ac:dyDescent="0.25">
      <c r="J31" s="1">
        <v>4948429</v>
      </c>
      <c r="K31" s="1">
        <v>6452618</v>
      </c>
      <c r="L31" s="1">
        <v>23486157</v>
      </c>
      <c r="M31" s="1">
        <v>6352618</v>
      </c>
      <c r="N31" s="1">
        <v>323819</v>
      </c>
      <c r="O31" s="1">
        <v>18537728</v>
      </c>
      <c r="P31" s="1">
        <v>6902284</v>
      </c>
      <c r="Q31">
        <v>1.8341423982540503</v>
      </c>
    </row>
    <row r="32" spans="1:17" x14ac:dyDescent="0.25">
      <c r="A32" s="1" t="s">
        <v>0</v>
      </c>
      <c r="B32" s="1" t="s">
        <v>1</v>
      </c>
      <c r="C32" s="1" t="s">
        <v>2</v>
      </c>
      <c r="D32" s="1" t="s">
        <v>3</v>
      </c>
      <c r="E32" s="1" t="s">
        <v>4</v>
      </c>
      <c r="F32" s="1" t="s">
        <v>5</v>
      </c>
      <c r="G32" s="1" t="s">
        <v>6</v>
      </c>
      <c r="J32" s="1">
        <v>-1437436</v>
      </c>
      <c r="K32" s="1">
        <v>9825695</v>
      </c>
      <c r="L32" s="1">
        <v>23468782</v>
      </c>
      <c r="M32" s="1">
        <v>9725695</v>
      </c>
      <c r="N32" s="1">
        <v>182774</v>
      </c>
      <c r="O32" s="1">
        <v>24906218</v>
      </c>
      <c r="P32" s="1">
        <v>9941860</v>
      </c>
      <c r="Q32">
        <v>2.3077932495717843</v>
      </c>
    </row>
    <row r="33" spans="1:17" x14ac:dyDescent="0.25">
      <c r="A33" s="1">
        <v>-1273462</v>
      </c>
      <c r="B33" s="1">
        <v>2532301</v>
      </c>
      <c r="C33" s="1">
        <v>14262889</v>
      </c>
      <c r="D33" s="1">
        <v>2432301</v>
      </c>
      <c r="E33" s="1">
        <v>302741</v>
      </c>
      <c r="F33" s="1">
        <v>15536351</v>
      </c>
      <c r="G33" s="1">
        <v>3461521</v>
      </c>
      <c r="H33">
        <v>0.95832447319648262</v>
      </c>
      <c r="J33" s="1">
        <v>3215388</v>
      </c>
      <c r="K33" s="1">
        <v>10563993</v>
      </c>
      <c r="L33" s="1">
        <v>22907859</v>
      </c>
      <c r="M33" s="1">
        <v>10463993</v>
      </c>
      <c r="N33" s="1">
        <v>160618</v>
      </c>
      <c r="O33" s="1">
        <v>19692471</v>
      </c>
      <c r="P33" s="1">
        <v>11242611</v>
      </c>
      <c r="Q33">
        <v>2.8166188433304828</v>
      </c>
    </row>
    <row r="34" spans="1:17" x14ac:dyDescent="0.25">
      <c r="A34" s="1">
        <v>-127677</v>
      </c>
      <c r="B34" s="1">
        <v>4905012</v>
      </c>
      <c r="C34" s="1">
        <v>20800746</v>
      </c>
      <c r="D34" s="1">
        <v>4805012</v>
      </c>
      <c r="E34" s="1">
        <v>463601</v>
      </c>
      <c r="F34" s="1">
        <v>20928423</v>
      </c>
      <c r="G34" s="1">
        <v>5554072</v>
      </c>
      <c r="H34">
        <v>1.3651109228159395</v>
      </c>
      <c r="J34" s="1">
        <v>8428979</v>
      </c>
      <c r="K34" s="1">
        <v>5310524</v>
      </c>
      <c r="L34" s="1">
        <v>18437602</v>
      </c>
      <c r="M34" s="1">
        <v>5210524</v>
      </c>
      <c r="N34" s="1">
        <v>184084</v>
      </c>
      <c r="O34" s="1">
        <v>10008623</v>
      </c>
      <c r="P34" s="1">
        <v>5946934</v>
      </c>
      <c r="Q34">
        <v>2.2176795695351146</v>
      </c>
    </row>
    <row r="35" spans="1:17" x14ac:dyDescent="0.25">
      <c r="A35" s="1">
        <v>190510</v>
      </c>
      <c r="B35" s="1">
        <v>701461</v>
      </c>
      <c r="C35" s="1">
        <v>15147681</v>
      </c>
      <c r="D35" s="1">
        <v>601461</v>
      </c>
      <c r="E35" s="1">
        <v>117172</v>
      </c>
      <c r="F35" s="1">
        <v>14957171</v>
      </c>
      <c r="G35" s="1">
        <v>1071900</v>
      </c>
      <c r="H35">
        <v>0.28634782144339632</v>
      </c>
    </row>
    <row r="36" spans="1:17" x14ac:dyDescent="0.25">
      <c r="A36" s="1">
        <v>5220520</v>
      </c>
      <c r="B36" s="1">
        <v>3143929</v>
      </c>
      <c r="C36" s="1">
        <v>21746643</v>
      </c>
      <c r="D36" s="1">
        <v>3043929</v>
      </c>
      <c r="E36" s="1">
        <v>278393</v>
      </c>
      <c r="F36" s="1">
        <v>16526123</v>
      </c>
      <c r="G36" s="1">
        <v>4047922</v>
      </c>
      <c r="H36">
        <v>1.1484423575551594</v>
      </c>
      <c r="J36" s="1" t="s">
        <v>0</v>
      </c>
      <c r="K36" s="1" t="s">
        <v>1</v>
      </c>
      <c r="L36" s="1" t="s">
        <v>2</v>
      </c>
      <c r="M36" s="1" t="s">
        <v>3</v>
      </c>
      <c r="N36" s="1" t="s">
        <v>4</v>
      </c>
      <c r="O36" s="1" t="s">
        <v>5</v>
      </c>
      <c r="P36" s="1" t="s">
        <v>6</v>
      </c>
    </row>
    <row r="37" spans="1:17" x14ac:dyDescent="0.25">
      <c r="J37" s="1">
        <v>-2952448</v>
      </c>
      <c r="K37" s="1">
        <v>6526653</v>
      </c>
      <c r="L37" s="1">
        <v>17329098</v>
      </c>
      <c r="M37" s="1">
        <v>6426653</v>
      </c>
      <c r="N37" s="1">
        <v>295961</v>
      </c>
      <c r="O37" s="1">
        <v>20281546</v>
      </c>
      <c r="P37" s="1">
        <v>7420602</v>
      </c>
      <c r="Q37">
        <v>1.9832099234295399</v>
      </c>
    </row>
    <row r="38" spans="1:17" x14ac:dyDescent="0.25">
      <c r="J38" s="1">
        <v>1543361</v>
      </c>
      <c r="K38" s="1">
        <v>6638859</v>
      </c>
      <c r="L38" s="1">
        <v>21352018</v>
      </c>
      <c r="M38" s="1">
        <v>6538859</v>
      </c>
      <c r="N38" s="1">
        <v>223577</v>
      </c>
      <c r="O38" s="1">
        <v>19808657</v>
      </c>
      <c r="P38" s="1">
        <v>7089111</v>
      </c>
      <c r="Q38">
        <v>1.8710779647879272</v>
      </c>
    </row>
    <row r="39" spans="1:17" x14ac:dyDescent="0.25">
      <c r="J39" s="1">
        <v>-5243746</v>
      </c>
      <c r="K39" s="1">
        <v>9332375</v>
      </c>
      <c r="L39" s="1">
        <v>19695101</v>
      </c>
      <c r="M39" s="1">
        <v>9232375</v>
      </c>
      <c r="N39" s="1">
        <v>494116</v>
      </c>
      <c r="O39" s="1">
        <v>24938847</v>
      </c>
      <c r="P39" s="1">
        <v>9470754</v>
      </c>
      <c r="Q39">
        <v>2.3830841594167103</v>
      </c>
    </row>
    <row r="40" spans="1:17" x14ac:dyDescent="0.25">
      <c r="J40" s="1">
        <v>-10634262</v>
      </c>
      <c r="K40" s="1">
        <v>6572345</v>
      </c>
      <c r="L40" s="1">
        <v>12962398</v>
      </c>
      <c r="M40" s="1">
        <v>6472345</v>
      </c>
      <c r="N40" s="1">
        <v>274535</v>
      </c>
      <c r="O40" s="1">
        <v>23596660</v>
      </c>
      <c r="P40" s="1">
        <v>7083771</v>
      </c>
      <c r="Q40">
        <v>1.9260387490340214</v>
      </c>
    </row>
    <row r="41" spans="1:17" x14ac:dyDescent="0.25">
      <c r="J41" s="1">
        <v>-2703333</v>
      </c>
      <c r="K41" s="1">
        <v>5781080</v>
      </c>
      <c r="L41" s="1">
        <v>13847753</v>
      </c>
      <c r="M41" s="1">
        <v>5681080</v>
      </c>
      <c r="N41" s="1">
        <v>144752</v>
      </c>
      <c r="O41" s="1">
        <v>16551086</v>
      </c>
      <c r="P41" s="1">
        <v>5983331</v>
      </c>
      <c r="Q41">
        <v>2.1409314298837483</v>
      </c>
    </row>
    <row r="42" spans="1:17" x14ac:dyDescent="0.25">
      <c r="J42" s="1">
        <v>2649626</v>
      </c>
      <c r="K42" s="1">
        <v>5619720</v>
      </c>
      <c r="L42" s="1">
        <v>16789369</v>
      </c>
      <c r="M42" s="1">
        <v>5519720</v>
      </c>
      <c r="N42" s="1">
        <v>158010</v>
      </c>
      <c r="O42" s="1">
        <v>14139743</v>
      </c>
      <c r="P42" s="1">
        <v>5972295</v>
      </c>
      <c r="Q42">
        <v>2.1049706790223057</v>
      </c>
    </row>
    <row r="43" spans="1:17" x14ac:dyDescent="0.25">
      <c r="J43" s="1">
        <v>-7959666</v>
      </c>
      <c r="K43" s="1">
        <v>8159588</v>
      </c>
      <c r="L43" s="1">
        <v>12550453</v>
      </c>
      <c r="M43" s="1">
        <v>8059588</v>
      </c>
      <c r="N43" s="1">
        <v>448773</v>
      </c>
      <c r="O43" s="1">
        <v>20510119</v>
      </c>
      <c r="P43" s="1">
        <v>8465488</v>
      </c>
      <c r="Q43">
        <v>2.955292013487306</v>
      </c>
    </row>
    <row r="44" spans="1:17" x14ac:dyDescent="0.25">
      <c r="J44" s="1">
        <v>-3704886</v>
      </c>
      <c r="K44" s="1">
        <v>7581114</v>
      </c>
      <c r="L44" s="1">
        <v>20640504</v>
      </c>
      <c r="M44" s="1">
        <v>7481114</v>
      </c>
      <c r="N44" s="1">
        <v>223073</v>
      </c>
      <c r="O44" s="1">
        <v>24345390</v>
      </c>
      <c r="P44" s="1">
        <v>7889934</v>
      </c>
      <c r="Q44">
        <v>1.8822647010704068</v>
      </c>
    </row>
    <row r="45" spans="1:17" x14ac:dyDescent="0.25">
      <c r="J45" s="1">
        <v>1331058</v>
      </c>
      <c r="K45" s="1">
        <v>5193889</v>
      </c>
      <c r="L45" s="1">
        <v>15605653</v>
      </c>
      <c r="M45" s="1">
        <v>5093889</v>
      </c>
      <c r="N45" s="1">
        <v>260482</v>
      </c>
      <c r="O45" s="1">
        <v>14274595</v>
      </c>
      <c r="P45" s="1">
        <v>5580003</v>
      </c>
      <c r="Q45">
        <v>2.0136186252210755</v>
      </c>
    </row>
    <row r="46" spans="1:17" x14ac:dyDescent="0.25">
      <c r="J46" s="1">
        <v>575770</v>
      </c>
      <c r="K46" s="1">
        <v>5416779</v>
      </c>
      <c r="L46" s="1">
        <v>15557689</v>
      </c>
      <c r="M46" s="1">
        <v>5316779</v>
      </c>
      <c r="N46" s="1">
        <v>406955</v>
      </c>
      <c r="O46" s="1">
        <v>14981919</v>
      </c>
      <c r="P46" s="1">
        <v>5874074</v>
      </c>
      <c r="Q46">
        <v>2.0531032620885483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 filterMode="1"/>
  <dimension ref="A1:H21"/>
  <sheetViews>
    <sheetView workbookViewId="0">
      <selection sqref="A1:H21"/>
    </sheetView>
  </sheetViews>
  <sheetFormatPr baseColWidth="10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8" x14ac:dyDescent="0.25">
      <c r="A2" s="1">
        <v>10239761</v>
      </c>
      <c r="B2" s="1">
        <v>7216077</v>
      </c>
      <c r="C2" s="1">
        <v>22323551</v>
      </c>
      <c r="D2" s="1">
        <v>7116077</v>
      </c>
      <c r="E2" s="1">
        <v>181379</v>
      </c>
      <c r="F2" s="1">
        <v>12083790</v>
      </c>
      <c r="G2" s="1">
        <v>7815880</v>
      </c>
      <c r="H2">
        <f>Score(A2,B2,C2,D2,E2,F2,G2)</f>
        <v>2.4137014122299512</v>
      </c>
    </row>
    <row r="3" spans="1:8" x14ac:dyDescent="0.25">
      <c r="A3" s="1">
        <v>-5188964</v>
      </c>
      <c r="B3" s="1">
        <v>6301456</v>
      </c>
      <c r="C3" s="1">
        <v>10585803</v>
      </c>
      <c r="D3" s="1">
        <v>6201456</v>
      </c>
      <c r="E3" s="1">
        <v>481592</v>
      </c>
      <c r="F3" s="1">
        <v>15774767</v>
      </c>
      <c r="G3" s="1">
        <v>6609908</v>
      </c>
      <c r="H3">
        <f t="shared" ref="H3:H21" si="0">Score(A3,B3,C3,D3,E3,F3,G3)</f>
        <v>2.8205031348194871</v>
      </c>
    </row>
    <row r="4" spans="1:8" hidden="1" x14ac:dyDescent="0.25">
      <c r="A4" s="1">
        <v>7110072</v>
      </c>
      <c r="B4" s="1">
        <v>11769506</v>
      </c>
      <c r="C4" s="1">
        <v>21392423</v>
      </c>
      <c r="D4" s="1">
        <v>11669506</v>
      </c>
      <c r="E4" s="1">
        <v>432266</v>
      </c>
      <c r="F4" s="1">
        <v>14282351</v>
      </c>
      <c r="G4" s="1">
        <v>12373901</v>
      </c>
      <c r="H4">
        <f t="shared" si="0"/>
        <v>3.5652233632736023</v>
      </c>
    </row>
    <row r="5" spans="1:8" hidden="1" x14ac:dyDescent="0.25">
      <c r="A5" s="1">
        <v>-4705002</v>
      </c>
      <c r="B5" s="1">
        <v>49854</v>
      </c>
      <c r="C5" s="1">
        <v>12760474</v>
      </c>
      <c r="D5" s="1">
        <v>-50146</v>
      </c>
      <c r="E5" s="1">
        <v>264554</v>
      </c>
      <c r="F5" s="1">
        <v>17465476</v>
      </c>
      <c r="G5" s="1">
        <v>1009722</v>
      </c>
      <c r="H5">
        <f t="shared" si="0"/>
        <v>-0.36182077860307349</v>
      </c>
    </row>
    <row r="6" spans="1:8" hidden="1" x14ac:dyDescent="0.25">
      <c r="A6" s="1">
        <v>-8007787</v>
      </c>
      <c r="B6" s="1">
        <v>2257975</v>
      </c>
      <c r="C6" s="1">
        <v>13637467</v>
      </c>
      <c r="D6" s="1">
        <v>2157975</v>
      </c>
      <c r="E6" s="1">
        <v>225825</v>
      </c>
      <c r="F6" s="1">
        <v>21645254</v>
      </c>
      <c r="G6" s="1">
        <v>3042758</v>
      </c>
      <c r="H6">
        <f t="shared" si="0"/>
        <v>0.27851368457977776</v>
      </c>
    </row>
    <row r="7" spans="1:8" x14ac:dyDescent="0.25">
      <c r="A7" s="1">
        <v>8443487</v>
      </c>
      <c r="B7" s="1">
        <v>7677471</v>
      </c>
      <c r="C7" s="1">
        <v>18950949</v>
      </c>
      <c r="D7" s="1">
        <v>7577471</v>
      </c>
      <c r="E7" s="1">
        <v>138883</v>
      </c>
      <c r="F7" s="1">
        <v>10507462</v>
      </c>
      <c r="G7" s="1">
        <v>8442581</v>
      </c>
      <c r="H7">
        <f t="shared" si="0"/>
        <v>2.8743007905340843</v>
      </c>
    </row>
    <row r="8" spans="1:8" hidden="1" x14ac:dyDescent="0.25">
      <c r="A8" s="1">
        <v>1558033</v>
      </c>
      <c r="B8" s="1">
        <v>12929599</v>
      </c>
      <c r="C8" s="1">
        <v>17280722</v>
      </c>
      <c r="D8" s="1">
        <v>12829599</v>
      </c>
      <c r="E8" s="1">
        <v>148004</v>
      </c>
      <c r="F8" s="1">
        <v>15722689</v>
      </c>
      <c r="G8" s="1">
        <v>13402050</v>
      </c>
      <c r="H8">
        <f t="shared" si="0"/>
        <v>4.3861017546052752</v>
      </c>
    </row>
    <row r="9" spans="1:8" hidden="1" x14ac:dyDescent="0.25">
      <c r="A9" s="1">
        <v>-1699302</v>
      </c>
      <c r="B9" s="1">
        <v>7321042</v>
      </c>
      <c r="C9" s="1">
        <v>12865033</v>
      </c>
      <c r="D9" s="1">
        <v>7221042</v>
      </c>
      <c r="E9" s="1">
        <v>214458</v>
      </c>
      <c r="F9" s="1">
        <v>14564335</v>
      </c>
      <c r="G9" s="1">
        <v>7683253</v>
      </c>
      <c r="H9">
        <f t="shared" si="0"/>
        <v>3.0959086029659648</v>
      </c>
    </row>
    <row r="10" spans="1:8" hidden="1" x14ac:dyDescent="0.25">
      <c r="A10" s="1">
        <v>-5958196</v>
      </c>
      <c r="B10" s="1">
        <v>14219713</v>
      </c>
      <c r="C10" s="1">
        <v>16739427</v>
      </c>
      <c r="D10" s="1">
        <v>14119713</v>
      </c>
      <c r="E10" s="1">
        <v>388391</v>
      </c>
      <c r="F10" s="1">
        <v>22697623</v>
      </c>
      <c r="G10" s="1">
        <v>14444580</v>
      </c>
      <c r="H10">
        <f t="shared" si="0"/>
        <v>4.4180015014373462</v>
      </c>
    </row>
    <row r="11" spans="1:8" x14ac:dyDescent="0.25">
      <c r="A11" s="1">
        <v>-10450267</v>
      </c>
      <c r="B11" s="1">
        <v>7723385</v>
      </c>
      <c r="C11" s="1">
        <v>14483512</v>
      </c>
      <c r="D11" s="1">
        <v>7623385</v>
      </c>
      <c r="E11" s="1">
        <v>363396</v>
      </c>
      <c r="F11" s="1">
        <v>24933779</v>
      </c>
      <c r="G11" s="1">
        <v>8287099</v>
      </c>
      <c r="H11">
        <f t="shared" si="0"/>
        <v>2.1980203761131691</v>
      </c>
    </row>
    <row r="12" spans="1:8" hidden="1" x14ac:dyDescent="0.25">
      <c r="A12" s="1">
        <v>3102730</v>
      </c>
      <c r="B12" s="1">
        <v>13433304</v>
      </c>
      <c r="C12" s="1">
        <v>25517865</v>
      </c>
      <c r="D12" s="1">
        <v>13333304</v>
      </c>
      <c r="E12" s="1">
        <v>249202</v>
      </c>
      <c r="F12" s="1">
        <v>22415135</v>
      </c>
      <c r="G12" s="1">
        <v>14094108</v>
      </c>
      <c r="H12">
        <f t="shared" si="0"/>
        <v>3.1656267793836776</v>
      </c>
    </row>
    <row r="13" spans="1:8" hidden="1" x14ac:dyDescent="0.25">
      <c r="A13" s="1">
        <v>-9515416</v>
      </c>
      <c r="B13" s="1">
        <v>13245123</v>
      </c>
      <c r="C13" s="1">
        <v>13415355</v>
      </c>
      <c r="D13" s="1">
        <v>13145123</v>
      </c>
      <c r="E13" s="1">
        <v>363508</v>
      </c>
      <c r="F13" s="1">
        <v>22930771</v>
      </c>
      <c r="G13" s="1">
        <v>13602386</v>
      </c>
      <c r="H13">
        <f t="shared" si="0"/>
        <v>4.7870490154336096</v>
      </c>
    </row>
    <row r="14" spans="1:8" hidden="1" x14ac:dyDescent="0.25">
      <c r="A14" s="1">
        <v>9684313</v>
      </c>
      <c r="B14" s="1">
        <v>4759231</v>
      </c>
      <c r="C14" s="1">
        <v>22248542</v>
      </c>
      <c r="D14" s="1">
        <v>4659231</v>
      </c>
      <c r="E14" s="1">
        <v>344243</v>
      </c>
      <c r="F14" s="1">
        <v>12564229</v>
      </c>
      <c r="G14" s="1">
        <v>5569819</v>
      </c>
      <c r="H14">
        <f t="shared" si="0"/>
        <v>1.779422605881855</v>
      </c>
    </row>
    <row r="15" spans="1:8" x14ac:dyDescent="0.25">
      <c r="A15" s="1">
        <v>9067748</v>
      </c>
      <c r="B15" s="1">
        <v>6505027</v>
      </c>
      <c r="C15" s="1">
        <v>22729020</v>
      </c>
      <c r="D15" s="1">
        <v>6405027</v>
      </c>
      <c r="E15" s="1">
        <v>201039</v>
      </c>
      <c r="F15" s="1">
        <v>13661272</v>
      </c>
      <c r="G15" s="1">
        <v>7461786</v>
      </c>
      <c r="H15">
        <f t="shared" si="0"/>
        <v>2.1461522138097835</v>
      </c>
    </row>
    <row r="16" spans="1:8" hidden="1" x14ac:dyDescent="0.25">
      <c r="A16" s="1">
        <v>-1118680</v>
      </c>
      <c r="B16" s="1">
        <v>13207491</v>
      </c>
      <c r="C16" s="1">
        <v>20511012</v>
      </c>
      <c r="D16" s="1">
        <v>13107491</v>
      </c>
      <c r="E16" s="1">
        <v>245968</v>
      </c>
      <c r="F16" s="1">
        <v>21629692</v>
      </c>
      <c r="G16" s="1">
        <v>14167518</v>
      </c>
      <c r="H16">
        <f t="shared" si="0"/>
        <v>3.6417554704447808</v>
      </c>
    </row>
    <row r="17" spans="1:8" hidden="1" x14ac:dyDescent="0.25">
      <c r="A17" s="1">
        <v>5206084</v>
      </c>
      <c r="B17" s="1">
        <v>2402015</v>
      </c>
      <c r="C17" s="1">
        <v>21742356</v>
      </c>
      <c r="D17" s="1">
        <v>2302015</v>
      </c>
      <c r="E17" s="1">
        <v>148290</v>
      </c>
      <c r="F17" s="1">
        <v>16536272</v>
      </c>
      <c r="G17" s="1">
        <v>2694615</v>
      </c>
      <c r="H17">
        <f t="shared" si="0"/>
        <v>0.92058455878652834</v>
      </c>
    </row>
    <row r="18" spans="1:8" x14ac:dyDescent="0.25">
      <c r="A18" s="1">
        <v>-795227</v>
      </c>
      <c r="B18" s="1">
        <v>10817831</v>
      </c>
      <c r="C18" s="1">
        <v>22192778</v>
      </c>
      <c r="D18" s="1">
        <v>10717831</v>
      </c>
      <c r="E18" s="1">
        <v>200485</v>
      </c>
      <c r="F18" s="1">
        <v>22988005</v>
      </c>
      <c r="G18" s="1">
        <v>11319869</v>
      </c>
      <c r="H18">
        <f t="shared" si="0"/>
        <v>2.7479305289782454</v>
      </c>
    </row>
    <row r="19" spans="1:8" hidden="1" x14ac:dyDescent="0.25">
      <c r="A19" s="1">
        <v>9567109</v>
      </c>
      <c r="B19" s="1">
        <v>2080415</v>
      </c>
      <c r="C19" s="1">
        <v>23002305</v>
      </c>
      <c r="D19" s="1">
        <v>1980415</v>
      </c>
      <c r="E19" s="1">
        <v>199289</v>
      </c>
      <c r="F19" s="1">
        <v>13435196</v>
      </c>
      <c r="G19" s="1">
        <v>2915591</v>
      </c>
      <c r="H19">
        <f t="shared" si="0"/>
        <v>1.0453681702725734</v>
      </c>
    </row>
    <row r="20" spans="1:8" hidden="1" x14ac:dyDescent="0.25">
      <c r="A20" s="1">
        <v>-448492</v>
      </c>
      <c r="B20" s="1">
        <v>12111962</v>
      </c>
      <c r="C20" s="1">
        <v>15153729</v>
      </c>
      <c r="D20" s="1">
        <v>12011962</v>
      </c>
      <c r="E20" s="1">
        <v>428139</v>
      </c>
      <c r="F20" s="1">
        <v>15602221</v>
      </c>
      <c r="G20" s="1">
        <v>12570944</v>
      </c>
      <c r="H20">
        <f t="shared" si="0"/>
        <v>4.5444856009559746</v>
      </c>
    </row>
    <row r="21" spans="1:8" x14ac:dyDescent="0.25">
      <c r="A21" s="1">
        <v>-467841</v>
      </c>
      <c r="B21" s="1">
        <v>6960226</v>
      </c>
      <c r="C21" s="1">
        <v>15805880</v>
      </c>
      <c r="D21" s="1">
        <v>6860226</v>
      </c>
      <c r="E21" s="1">
        <v>207048</v>
      </c>
      <c r="F21" s="1">
        <v>16273721</v>
      </c>
      <c r="G21" s="1">
        <v>7606049</v>
      </c>
      <c r="H21">
        <f t="shared" si="0"/>
        <v>2.5016483353282704</v>
      </c>
    </row>
  </sheetData>
  <autoFilter ref="A1:H21" xr:uid="{3B5517F4-756E-43B4-939F-D6AF358ECDD9}">
    <filterColumn colId="7">
      <customFilters and="1">
        <customFilter operator="greaterThanOrEqual" val="1.88"/>
        <customFilter operator="lessThan" val="2.99"/>
      </custom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 filterMode="1"/>
  <dimension ref="A1:H21"/>
  <sheetViews>
    <sheetView workbookViewId="0">
      <selection sqref="A1:H21"/>
    </sheetView>
  </sheetViews>
  <sheetFormatPr baseColWidth="10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8" x14ac:dyDescent="0.25">
      <c r="A2" s="1">
        <v>-4071868</v>
      </c>
      <c r="B2" s="1">
        <v>8971976</v>
      </c>
      <c r="C2" s="1">
        <v>15701038</v>
      </c>
      <c r="D2" s="1">
        <v>8871976</v>
      </c>
      <c r="E2" s="1">
        <v>203124</v>
      </c>
      <c r="F2" s="1">
        <v>19772906</v>
      </c>
      <c r="G2" s="1">
        <v>9253255</v>
      </c>
      <c r="H2">
        <f>Score(A2,B2,C2,D2,E2,F2,G2)</f>
        <v>2.9483925803838336</v>
      </c>
    </row>
    <row r="3" spans="1:8" x14ac:dyDescent="0.25">
      <c r="A3" s="1">
        <v>792206</v>
      </c>
      <c r="B3" s="1">
        <v>10563750</v>
      </c>
      <c r="C3" s="1">
        <v>22159962</v>
      </c>
      <c r="D3" s="1">
        <v>10463750</v>
      </c>
      <c r="E3" s="1">
        <v>208170</v>
      </c>
      <c r="F3" s="1">
        <v>21367756</v>
      </c>
      <c r="G3" s="1">
        <v>10921264</v>
      </c>
      <c r="H3">
        <f t="shared" ref="H3:H21" si="0">Score(A3,B3,C3,D3,E3,F3,G3)</f>
        <v>2.7667081584741609</v>
      </c>
    </row>
    <row r="4" spans="1:8" hidden="1" x14ac:dyDescent="0.25">
      <c r="A4" s="1">
        <v>5640419</v>
      </c>
      <c r="B4" s="1">
        <v>5228828</v>
      </c>
      <c r="C4" s="1">
        <v>25743034</v>
      </c>
      <c r="D4" s="1">
        <v>5128828</v>
      </c>
      <c r="E4" s="1">
        <v>306697</v>
      </c>
      <c r="F4" s="1">
        <v>20102615</v>
      </c>
      <c r="G4" s="1">
        <v>6114153</v>
      </c>
      <c r="H4">
        <f t="shared" si="0"/>
        <v>1.4511764045879667</v>
      </c>
    </row>
    <row r="5" spans="1:8" x14ac:dyDescent="0.25">
      <c r="A5" s="1">
        <v>4210530</v>
      </c>
      <c r="B5" s="1">
        <v>8992874</v>
      </c>
      <c r="C5" s="1">
        <v>19122529</v>
      </c>
      <c r="D5" s="1">
        <v>8892874</v>
      </c>
      <c r="E5" s="1">
        <v>255600</v>
      </c>
      <c r="F5" s="1">
        <v>14911999</v>
      </c>
      <c r="G5" s="1">
        <v>9287741</v>
      </c>
      <c r="H5">
        <f t="shared" si="0"/>
        <v>2.9527610893913412</v>
      </c>
    </row>
    <row r="6" spans="1:8" hidden="1" x14ac:dyDescent="0.25">
      <c r="A6" s="1">
        <v>2887233</v>
      </c>
      <c r="B6" s="1">
        <v>13147117</v>
      </c>
      <c r="C6" s="1">
        <v>21448394</v>
      </c>
      <c r="D6" s="1">
        <v>13047117</v>
      </c>
      <c r="E6" s="1">
        <v>196255</v>
      </c>
      <c r="F6" s="1">
        <v>18561161</v>
      </c>
      <c r="G6" s="1">
        <v>13543145</v>
      </c>
      <c r="H6">
        <f t="shared" si="0"/>
        <v>3.6642277792858007</v>
      </c>
    </row>
    <row r="7" spans="1:8" hidden="1" x14ac:dyDescent="0.25">
      <c r="A7" s="1">
        <v>1685691</v>
      </c>
      <c r="B7" s="1">
        <v>12971148</v>
      </c>
      <c r="C7" s="1">
        <v>21322103</v>
      </c>
      <c r="D7" s="1">
        <v>12871148</v>
      </c>
      <c r="E7" s="1">
        <v>347600</v>
      </c>
      <c r="F7" s="1">
        <v>19636412</v>
      </c>
      <c r="G7" s="1">
        <v>13906952</v>
      </c>
      <c r="H7">
        <f t="shared" si="0"/>
        <v>3.6008049353909151</v>
      </c>
    </row>
    <row r="8" spans="1:8" hidden="1" x14ac:dyDescent="0.25">
      <c r="A8" s="1">
        <v>-3225736</v>
      </c>
      <c r="B8" s="1">
        <v>4960797</v>
      </c>
      <c r="C8" s="1">
        <v>19580822</v>
      </c>
      <c r="D8" s="1">
        <v>4860797</v>
      </c>
      <c r="E8" s="1">
        <v>365350</v>
      </c>
      <c r="F8" s="1">
        <v>22806558</v>
      </c>
      <c r="G8" s="1">
        <v>5597803</v>
      </c>
      <c r="H8">
        <f t="shared" si="0"/>
        <v>1.2714110296843359</v>
      </c>
    </row>
    <row r="9" spans="1:8" hidden="1" x14ac:dyDescent="0.25">
      <c r="A9" s="1">
        <v>3125064</v>
      </c>
      <c r="B9" s="1">
        <v>14107331</v>
      </c>
      <c r="C9" s="1">
        <v>20552628</v>
      </c>
      <c r="D9" s="1">
        <v>14007331</v>
      </c>
      <c r="E9" s="1">
        <v>296064</v>
      </c>
      <c r="F9" s="1">
        <v>17427564</v>
      </c>
      <c r="G9" s="1">
        <v>14593538</v>
      </c>
      <c r="H9">
        <f t="shared" si="0"/>
        <v>4.1120273768929883</v>
      </c>
    </row>
    <row r="10" spans="1:8" x14ac:dyDescent="0.25">
      <c r="A10" s="1">
        <v>4819843</v>
      </c>
      <c r="B10" s="1">
        <v>6813112</v>
      </c>
      <c r="C10" s="1">
        <v>23154062</v>
      </c>
      <c r="D10" s="1">
        <v>6713112</v>
      </c>
      <c r="E10" s="1">
        <v>266841</v>
      </c>
      <c r="F10" s="1">
        <v>18334219</v>
      </c>
      <c r="G10" s="1">
        <v>7410181</v>
      </c>
      <c r="H10">
        <f t="shared" si="0"/>
        <v>1.9469759979674783</v>
      </c>
    </row>
    <row r="11" spans="1:8" x14ac:dyDescent="0.25">
      <c r="A11" s="1">
        <v>1524804</v>
      </c>
      <c r="B11" s="1">
        <v>5173541</v>
      </c>
      <c r="C11" s="1">
        <v>17658795</v>
      </c>
      <c r="D11" s="1">
        <v>5073541</v>
      </c>
      <c r="E11" s="1">
        <v>449026</v>
      </c>
      <c r="F11" s="1">
        <v>16133991</v>
      </c>
      <c r="G11" s="1">
        <v>5878212</v>
      </c>
      <c r="H11">
        <f t="shared" si="0"/>
        <v>1.8111439104938636</v>
      </c>
    </row>
    <row r="12" spans="1:8" x14ac:dyDescent="0.25">
      <c r="A12" s="1">
        <v>-1946723</v>
      </c>
      <c r="B12" s="1">
        <v>6728620</v>
      </c>
      <c r="C12" s="1">
        <v>15406364</v>
      </c>
      <c r="D12" s="1">
        <v>6628620</v>
      </c>
      <c r="E12" s="1">
        <v>228340</v>
      </c>
      <c r="F12" s="1">
        <v>17353087</v>
      </c>
      <c r="G12" s="1">
        <v>6896293</v>
      </c>
      <c r="H12">
        <f t="shared" si="0"/>
        <v>2.3347155483481727</v>
      </c>
    </row>
    <row r="13" spans="1:8" hidden="1" x14ac:dyDescent="0.25">
      <c r="A13" s="1">
        <v>1153126</v>
      </c>
      <c r="B13" s="1">
        <v>3656309</v>
      </c>
      <c r="C13" s="1">
        <v>22435472</v>
      </c>
      <c r="D13" s="1">
        <v>3556309</v>
      </c>
      <c r="E13" s="1">
        <v>370975</v>
      </c>
      <c r="F13" s="1">
        <v>21282346</v>
      </c>
      <c r="G13" s="1">
        <v>4634339</v>
      </c>
      <c r="H13">
        <f t="shared" si="0"/>
        <v>1.0297422458274885</v>
      </c>
    </row>
    <row r="14" spans="1:8" hidden="1" x14ac:dyDescent="0.25">
      <c r="A14" s="1">
        <v>-2832271</v>
      </c>
      <c r="B14" s="1">
        <v>9000832</v>
      </c>
      <c r="C14" s="1">
        <v>11683026</v>
      </c>
      <c r="D14" s="1">
        <v>8900832</v>
      </c>
      <c r="E14" s="1">
        <v>107927</v>
      </c>
      <c r="F14" s="1">
        <v>14515297</v>
      </c>
      <c r="G14" s="1">
        <v>9464077</v>
      </c>
      <c r="H14">
        <f t="shared" si="0"/>
        <v>4.1155364104236849</v>
      </c>
    </row>
    <row r="15" spans="1:8" x14ac:dyDescent="0.25">
      <c r="A15" s="1">
        <v>2101397</v>
      </c>
      <c r="B15" s="1">
        <v>8502703</v>
      </c>
      <c r="C15" s="1">
        <v>20815120</v>
      </c>
      <c r="D15" s="1">
        <v>8402703</v>
      </c>
      <c r="E15" s="1">
        <v>309383</v>
      </c>
      <c r="F15" s="1">
        <v>18713723</v>
      </c>
      <c r="G15" s="1">
        <v>9212010</v>
      </c>
      <c r="H15">
        <f t="shared" si="0"/>
        <v>2.4772210291376418</v>
      </c>
    </row>
    <row r="16" spans="1:8" hidden="1" x14ac:dyDescent="0.25">
      <c r="A16" s="1">
        <v>-1287452</v>
      </c>
      <c r="B16" s="1">
        <v>10478281</v>
      </c>
      <c r="C16" s="1">
        <v>17824456</v>
      </c>
      <c r="D16" s="1">
        <v>10378281</v>
      </c>
      <c r="E16" s="1">
        <v>392505</v>
      </c>
      <c r="F16" s="1">
        <v>19111908</v>
      </c>
      <c r="G16" s="1">
        <v>10742805</v>
      </c>
      <c r="H16">
        <f t="shared" si="0"/>
        <v>3.2721716221007062</v>
      </c>
    </row>
    <row r="17" spans="1:8" hidden="1" x14ac:dyDescent="0.25">
      <c r="A17" s="1">
        <v>-12405719</v>
      </c>
      <c r="B17" s="1">
        <v>749472</v>
      </c>
      <c r="C17" s="1">
        <v>11625342</v>
      </c>
      <c r="D17" s="1">
        <v>649472</v>
      </c>
      <c r="E17" s="1">
        <v>485882</v>
      </c>
      <c r="F17" s="1">
        <v>24031061</v>
      </c>
      <c r="G17" s="1">
        <v>1704025</v>
      </c>
      <c r="H17">
        <f t="shared" si="0"/>
        <v>-0.84737226122610998</v>
      </c>
    </row>
    <row r="18" spans="1:8" hidden="1" x14ac:dyDescent="0.25">
      <c r="A18" s="1">
        <v>-13437609</v>
      </c>
      <c r="B18" s="1">
        <v>13282127</v>
      </c>
      <c r="C18" s="1">
        <v>11413864</v>
      </c>
      <c r="D18" s="1">
        <v>13182127</v>
      </c>
      <c r="E18" s="1">
        <v>451232</v>
      </c>
      <c r="F18" s="1">
        <v>24851473</v>
      </c>
      <c r="G18" s="1">
        <v>14021717</v>
      </c>
      <c r="H18">
        <f t="shared" si="0"/>
        <v>5.2657809264820763</v>
      </c>
    </row>
    <row r="19" spans="1:8" hidden="1" x14ac:dyDescent="0.25">
      <c r="A19" s="1">
        <v>7032191</v>
      </c>
      <c r="B19" s="1">
        <v>10833928</v>
      </c>
      <c r="C19" s="1">
        <v>20761346</v>
      </c>
      <c r="D19" s="1">
        <v>10733928</v>
      </c>
      <c r="E19" s="1">
        <v>108050</v>
      </c>
      <c r="F19" s="1">
        <v>13729155</v>
      </c>
      <c r="G19" s="1">
        <v>11770412</v>
      </c>
      <c r="H19">
        <f t="shared" si="0"/>
        <v>3.4142665350455639</v>
      </c>
    </row>
    <row r="20" spans="1:8" hidden="1" x14ac:dyDescent="0.25">
      <c r="A20" s="1">
        <v>4585375</v>
      </c>
      <c r="B20" s="1">
        <v>3051865</v>
      </c>
      <c r="C20" s="1">
        <v>16049610</v>
      </c>
      <c r="D20" s="1">
        <v>2951865</v>
      </c>
      <c r="E20" s="1">
        <v>461580</v>
      </c>
      <c r="F20" s="1">
        <v>11464235</v>
      </c>
      <c r="G20" s="1">
        <v>3695361</v>
      </c>
      <c r="H20">
        <f t="shared" si="0"/>
        <v>1.4701666042188455</v>
      </c>
    </row>
    <row r="21" spans="1:8" hidden="1" x14ac:dyDescent="0.25">
      <c r="A21" s="1">
        <v>-5673288</v>
      </c>
      <c r="B21" s="1">
        <v>9253962</v>
      </c>
      <c r="C21" s="1">
        <v>13532916</v>
      </c>
      <c r="D21" s="1">
        <v>9153962</v>
      </c>
      <c r="E21" s="1">
        <v>250839</v>
      </c>
      <c r="F21" s="1">
        <v>19206204</v>
      </c>
      <c r="G21" s="1">
        <v>9488747</v>
      </c>
      <c r="H21">
        <f t="shared" si="0"/>
        <v>3.3947584178554155</v>
      </c>
    </row>
  </sheetData>
  <autoFilter ref="A1:H21" xr:uid="{09D50549-9B43-4259-802D-8F5EC502CFBA}">
    <filterColumn colId="7">
      <customFilters and="1">
        <customFilter operator="greaterThanOrEqual" val="1.81"/>
        <customFilter operator="lessThan" val="2.99"/>
      </customFilters>
    </filterColumn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 filterMode="1"/>
  <dimension ref="A1:H21"/>
  <sheetViews>
    <sheetView workbookViewId="0">
      <selection sqref="A1:H21"/>
    </sheetView>
  </sheetViews>
  <sheetFormatPr baseColWidth="10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8" hidden="1" x14ac:dyDescent="0.25">
      <c r="A2" s="1">
        <v>-6311341</v>
      </c>
      <c r="B2" s="1">
        <v>12219821</v>
      </c>
      <c r="C2" s="1">
        <v>14950608</v>
      </c>
      <c r="D2" s="1">
        <v>12119821</v>
      </c>
      <c r="E2" s="1">
        <v>263374</v>
      </c>
      <c r="F2" s="1">
        <v>21261949</v>
      </c>
      <c r="G2" s="1">
        <v>12774705</v>
      </c>
      <c r="H2">
        <f>Score(A2,B2,C2,D2,E2,F2,G2)</f>
        <v>4.1739169837021626</v>
      </c>
    </row>
    <row r="3" spans="1:8" x14ac:dyDescent="0.25">
      <c r="A3" s="1">
        <v>8695609</v>
      </c>
      <c r="B3" s="1">
        <v>5934684</v>
      </c>
      <c r="C3" s="1">
        <v>21803518</v>
      </c>
      <c r="D3" s="1">
        <v>5834684</v>
      </c>
      <c r="E3" s="1">
        <v>478604</v>
      </c>
      <c r="F3" s="1">
        <v>13107909</v>
      </c>
      <c r="G3" s="1">
        <v>6794410</v>
      </c>
      <c r="H3">
        <f t="shared" ref="H3:H21" si="0">Score(A3,B3,C3,D3,E3,F3,G3)</f>
        <v>2.0759504603947008</v>
      </c>
    </row>
    <row r="4" spans="1:8" x14ac:dyDescent="0.25">
      <c r="A4" s="1">
        <v>11842621</v>
      </c>
      <c r="B4" s="1">
        <v>5946111</v>
      </c>
      <c r="C4" s="1">
        <v>23514900</v>
      </c>
      <c r="D4" s="1">
        <v>5846111</v>
      </c>
      <c r="E4" s="1">
        <v>445298</v>
      </c>
      <c r="F4" s="1">
        <v>11672279</v>
      </c>
      <c r="G4" s="1">
        <v>6142666</v>
      </c>
      <c r="H4">
        <f t="shared" si="0"/>
        <v>2.0626346260137094</v>
      </c>
    </row>
    <row r="5" spans="1:8" x14ac:dyDescent="0.25">
      <c r="A5" s="1">
        <v>4948429</v>
      </c>
      <c r="B5" s="1">
        <v>6452618</v>
      </c>
      <c r="C5" s="1">
        <v>23486157</v>
      </c>
      <c r="D5" s="1">
        <v>6352618</v>
      </c>
      <c r="E5" s="1">
        <v>323819</v>
      </c>
      <c r="F5" s="1">
        <v>18537728</v>
      </c>
      <c r="G5" s="1">
        <v>6902284</v>
      </c>
      <c r="H5">
        <f t="shared" si="0"/>
        <v>1.8341423982540503</v>
      </c>
    </row>
    <row r="6" spans="1:8" x14ac:dyDescent="0.25">
      <c r="A6" s="1">
        <v>-1437436</v>
      </c>
      <c r="B6" s="1">
        <v>9825695</v>
      </c>
      <c r="C6" s="1">
        <v>23468782</v>
      </c>
      <c r="D6" s="1">
        <v>9725695</v>
      </c>
      <c r="E6" s="1">
        <v>182774</v>
      </c>
      <c r="F6" s="1">
        <v>24906218</v>
      </c>
      <c r="G6" s="1">
        <v>9941860</v>
      </c>
      <c r="H6">
        <f t="shared" si="0"/>
        <v>2.3077932495717843</v>
      </c>
    </row>
    <row r="7" spans="1:8" hidden="1" x14ac:dyDescent="0.25">
      <c r="A7" s="1">
        <v>2658190</v>
      </c>
      <c r="B7" s="1">
        <v>5882746</v>
      </c>
      <c r="C7" s="1">
        <v>24548838</v>
      </c>
      <c r="D7" s="1">
        <v>5782746</v>
      </c>
      <c r="E7" s="1">
        <v>189074</v>
      </c>
      <c r="F7" s="1">
        <v>21890648</v>
      </c>
      <c r="G7" s="1">
        <v>6665520</v>
      </c>
      <c r="H7">
        <f t="shared" si="0"/>
        <v>1.5192087168496207</v>
      </c>
    </row>
    <row r="8" spans="1:8" hidden="1" x14ac:dyDescent="0.25">
      <c r="A8" s="1">
        <v>-3107811</v>
      </c>
      <c r="B8" s="1">
        <v>13189767</v>
      </c>
      <c r="C8" s="1">
        <v>15253511</v>
      </c>
      <c r="D8" s="1">
        <v>13089767</v>
      </c>
      <c r="E8" s="1">
        <v>215518</v>
      </c>
      <c r="F8" s="1">
        <v>18361322</v>
      </c>
      <c r="G8" s="1">
        <v>14021906</v>
      </c>
      <c r="H8">
        <f t="shared" si="0"/>
        <v>4.7233610434768831</v>
      </c>
    </row>
    <row r="9" spans="1:8" hidden="1" x14ac:dyDescent="0.25">
      <c r="A9" s="1">
        <v>-3924307</v>
      </c>
      <c r="B9" s="1">
        <v>2011386</v>
      </c>
      <c r="C9" s="1">
        <v>20764602</v>
      </c>
      <c r="D9" s="1">
        <v>1911386</v>
      </c>
      <c r="E9" s="1">
        <v>231851</v>
      </c>
      <c r="F9" s="1">
        <v>24688909</v>
      </c>
      <c r="G9" s="1">
        <v>2140499</v>
      </c>
      <c r="H9">
        <f t="shared" si="0"/>
        <v>0.32120544585633493</v>
      </c>
    </row>
    <row r="10" spans="1:8" hidden="1" x14ac:dyDescent="0.25">
      <c r="A10" s="1">
        <v>-299386</v>
      </c>
      <c r="B10" s="1">
        <v>9935835</v>
      </c>
      <c r="C10" s="1">
        <v>16359826</v>
      </c>
      <c r="D10" s="1">
        <v>9835835</v>
      </c>
      <c r="E10" s="1">
        <v>113945</v>
      </c>
      <c r="F10" s="1">
        <v>16659212</v>
      </c>
      <c r="G10" s="1">
        <v>10043809</v>
      </c>
      <c r="H10">
        <f t="shared" si="0"/>
        <v>3.4297470434034913</v>
      </c>
    </row>
    <row r="11" spans="1:8" x14ac:dyDescent="0.25">
      <c r="A11" s="1">
        <v>3215388</v>
      </c>
      <c r="B11" s="1">
        <v>10563993</v>
      </c>
      <c r="C11" s="1">
        <v>22907859</v>
      </c>
      <c r="D11" s="1">
        <v>10463993</v>
      </c>
      <c r="E11" s="1">
        <v>160618</v>
      </c>
      <c r="F11" s="1">
        <v>19692471</v>
      </c>
      <c r="G11" s="1">
        <v>11242611</v>
      </c>
      <c r="H11">
        <f t="shared" si="0"/>
        <v>2.8166188433304828</v>
      </c>
    </row>
    <row r="12" spans="1:8" hidden="1" x14ac:dyDescent="0.25">
      <c r="A12" s="1">
        <v>-1382090</v>
      </c>
      <c r="B12" s="1">
        <v>11377713</v>
      </c>
      <c r="C12" s="1">
        <v>19613743</v>
      </c>
      <c r="D12" s="1">
        <v>11277713</v>
      </c>
      <c r="E12" s="1">
        <v>436345</v>
      </c>
      <c r="F12" s="1">
        <v>20995833</v>
      </c>
      <c r="G12" s="1">
        <v>11890815</v>
      </c>
      <c r="H12">
        <f t="shared" si="0"/>
        <v>3.2431464177574241</v>
      </c>
    </row>
    <row r="13" spans="1:8" hidden="1" x14ac:dyDescent="0.25">
      <c r="A13" s="1">
        <v>-5527357</v>
      </c>
      <c r="B13" s="1">
        <v>2634310</v>
      </c>
      <c r="C13" s="1">
        <v>17167143</v>
      </c>
      <c r="D13" s="1">
        <v>2534310</v>
      </c>
      <c r="E13" s="1">
        <v>225513</v>
      </c>
      <c r="F13" s="1">
        <v>22694500</v>
      </c>
      <c r="G13" s="1">
        <v>3438036</v>
      </c>
      <c r="H13">
        <f t="shared" si="0"/>
        <v>0.52165811657666439</v>
      </c>
    </row>
    <row r="14" spans="1:8" x14ac:dyDescent="0.25">
      <c r="A14" s="1">
        <v>8428979</v>
      </c>
      <c r="B14" s="1">
        <v>5310524</v>
      </c>
      <c r="C14" s="1">
        <v>18437602</v>
      </c>
      <c r="D14" s="1">
        <v>5210524</v>
      </c>
      <c r="E14" s="1">
        <v>184084</v>
      </c>
      <c r="F14" s="1">
        <v>10008623</v>
      </c>
      <c r="G14" s="1">
        <v>5946934</v>
      </c>
      <c r="H14">
        <f t="shared" si="0"/>
        <v>2.2176795695351146</v>
      </c>
    </row>
    <row r="15" spans="1:8" hidden="1" x14ac:dyDescent="0.25">
      <c r="A15" s="1">
        <v>8631307</v>
      </c>
      <c r="B15" s="1">
        <v>4043264</v>
      </c>
      <c r="C15" s="1">
        <v>20863713</v>
      </c>
      <c r="D15" s="1">
        <v>3943264</v>
      </c>
      <c r="E15" s="1">
        <v>216505</v>
      </c>
      <c r="F15" s="1">
        <v>12232406</v>
      </c>
      <c r="G15" s="1">
        <v>5041157</v>
      </c>
      <c r="H15">
        <f t="shared" si="0"/>
        <v>1.6434557400322403</v>
      </c>
    </row>
    <row r="16" spans="1:8" hidden="1" x14ac:dyDescent="0.25">
      <c r="A16" s="1">
        <v>-2713308</v>
      </c>
      <c r="B16" s="1">
        <v>7931167</v>
      </c>
      <c r="C16" s="1">
        <v>10681783</v>
      </c>
      <c r="D16" s="1">
        <v>7831167</v>
      </c>
      <c r="E16" s="1">
        <v>434862</v>
      </c>
      <c r="F16" s="1">
        <v>13395091</v>
      </c>
      <c r="G16" s="1">
        <v>8042661</v>
      </c>
      <c r="H16">
        <f t="shared" si="0"/>
        <v>3.9256741578419745</v>
      </c>
    </row>
    <row r="17" spans="1:8" hidden="1" x14ac:dyDescent="0.25">
      <c r="A17" s="1">
        <v>-9895761</v>
      </c>
      <c r="B17" s="1">
        <v>14437013</v>
      </c>
      <c r="C17" s="1">
        <v>12930169</v>
      </c>
      <c r="D17" s="1">
        <v>14337013</v>
      </c>
      <c r="E17" s="1">
        <v>351564</v>
      </c>
      <c r="F17" s="1">
        <v>22825930</v>
      </c>
      <c r="G17" s="1">
        <v>14865971</v>
      </c>
      <c r="H17">
        <f t="shared" si="0"/>
        <v>5.4616179321218636</v>
      </c>
    </row>
    <row r="18" spans="1:8" hidden="1" x14ac:dyDescent="0.25">
      <c r="A18" s="1">
        <v>4022732</v>
      </c>
      <c r="B18" s="1">
        <v>11162302</v>
      </c>
      <c r="C18" s="1">
        <v>20967235</v>
      </c>
      <c r="D18" s="1">
        <v>11062302</v>
      </c>
      <c r="E18" s="1">
        <v>110548</v>
      </c>
      <c r="F18" s="1">
        <v>16944503</v>
      </c>
      <c r="G18" s="1">
        <v>11673279</v>
      </c>
      <c r="H18">
        <f t="shared" si="0"/>
        <v>3.2767209981154335</v>
      </c>
    </row>
    <row r="19" spans="1:8" hidden="1" x14ac:dyDescent="0.25">
      <c r="A19" s="1">
        <v>-6873012</v>
      </c>
      <c r="B19" s="1">
        <v>1468236</v>
      </c>
      <c r="C19" s="1">
        <v>16714157</v>
      </c>
      <c r="D19" s="1">
        <v>1368236</v>
      </c>
      <c r="E19" s="1">
        <v>103916</v>
      </c>
      <c r="F19" s="1">
        <v>23587169</v>
      </c>
      <c r="G19" s="1">
        <v>1876747</v>
      </c>
      <c r="H19">
        <f t="shared" si="0"/>
        <v>1.4487523577583251E-2</v>
      </c>
    </row>
    <row r="20" spans="1:8" hidden="1" x14ac:dyDescent="0.25">
      <c r="A20" s="1">
        <v>-8261638</v>
      </c>
      <c r="B20" s="1">
        <v>11544410</v>
      </c>
      <c r="C20" s="1">
        <v>11630330</v>
      </c>
      <c r="D20" s="1">
        <v>11444410</v>
      </c>
      <c r="E20" s="1">
        <v>226878</v>
      </c>
      <c r="F20" s="1">
        <v>19891968</v>
      </c>
      <c r="G20" s="1">
        <v>11879381</v>
      </c>
      <c r="H20">
        <f t="shared" si="0"/>
        <v>4.8117166849142325</v>
      </c>
    </row>
    <row r="21" spans="1:8" hidden="1" x14ac:dyDescent="0.25">
      <c r="A21" s="1">
        <v>-225852</v>
      </c>
      <c r="B21" s="1">
        <v>1566182</v>
      </c>
      <c r="C21" s="1">
        <v>19721372</v>
      </c>
      <c r="D21" s="1">
        <v>1466182</v>
      </c>
      <c r="E21" s="1">
        <v>478732</v>
      </c>
      <c r="F21" s="1">
        <v>19947224</v>
      </c>
      <c r="G21" s="1">
        <v>2268761</v>
      </c>
      <c r="H21">
        <f t="shared" si="0"/>
        <v>0.47210265997456147</v>
      </c>
    </row>
  </sheetData>
  <autoFilter ref="A1:H21" xr:uid="{9BA7B79F-4394-4A92-BAE2-5ED797186A77}">
    <filterColumn colId="7">
      <customFilters and="1">
        <customFilter operator="greaterThanOrEqual" val="1.81"/>
        <customFilter operator="lessThan" val="2.99"/>
      </customFilters>
    </filterColumn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 filterMode="1"/>
  <dimension ref="A1:H21"/>
  <sheetViews>
    <sheetView workbookViewId="0">
      <selection sqref="A1:H21"/>
    </sheetView>
  </sheetViews>
  <sheetFormatPr baseColWidth="10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8" hidden="1" x14ac:dyDescent="0.25">
      <c r="A2" s="1">
        <v>-2952448</v>
      </c>
      <c r="B2" s="1">
        <v>6526653</v>
      </c>
      <c r="C2" s="1">
        <v>17329098</v>
      </c>
      <c r="D2" s="1">
        <v>6426653</v>
      </c>
      <c r="E2" s="1">
        <v>295961</v>
      </c>
      <c r="F2" s="1">
        <v>20281546</v>
      </c>
      <c r="G2" s="1">
        <v>7420602</v>
      </c>
      <c r="H2">
        <f>Score(A2,B2,C2,D2,E2,F2,G2)</f>
        <v>1.9832099234295399</v>
      </c>
    </row>
    <row r="3" spans="1:8" hidden="1" x14ac:dyDescent="0.25">
      <c r="A3" s="1">
        <v>1543361</v>
      </c>
      <c r="B3" s="1">
        <v>6638859</v>
      </c>
      <c r="C3" s="1">
        <v>21352018</v>
      </c>
      <c r="D3" s="1">
        <v>6538859</v>
      </c>
      <c r="E3" s="1">
        <v>223577</v>
      </c>
      <c r="F3" s="1">
        <v>19808657</v>
      </c>
      <c r="G3" s="1">
        <v>7089111</v>
      </c>
      <c r="H3">
        <f t="shared" ref="H3:H21" si="0">Score(A3,B3,C3,D3,E3,F3,G3)</f>
        <v>1.8710779647879272</v>
      </c>
    </row>
    <row r="4" spans="1:8" hidden="1" x14ac:dyDescent="0.25">
      <c r="A4" s="1">
        <v>-5243746</v>
      </c>
      <c r="B4" s="1">
        <v>9332375</v>
      </c>
      <c r="C4" s="1">
        <v>19695101</v>
      </c>
      <c r="D4" s="1">
        <v>9232375</v>
      </c>
      <c r="E4" s="1">
        <v>494116</v>
      </c>
      <c r="F4" s="1">
        <v>24938847</v>
      </c>
      <c r="G4" s="1">
        <v>9470754</v>
      </c>
      <c r="H4">
        <f t="shared" si="0"/>
        <v>2.3830841594167103</v>
      </c>
    </row>
    <row r="5" spans="1:8" hidden="1" x14ac:dyDescent="0.25">
      <c r="A5" s="1">
        <v>-10634262</v>
      </c>
      <c r="B5" s="1">
        <v>6572345</v>
      </c>
      <c r="C5" s="1">
        <v>12962398</v>
      </c>
      <c r="D5" s="1">
        <v>6472345</v>
      </c>
      <c r="E5" s="1">
        <v>274535</v>
      </c>
      <c r="F5" s="1">
        <v>23596660</v>
      </c>
      <c r="G5" s="1">
        <v>7083771</v>
      </c>
      <c r="H5">
        <f t="shared" si="0"/>
        <v>1.9260387490340214</v>
      </c>
    </row>
    <row r="6" spans="1:8" hidden="1" x14ac:dyDescent="0.25">
      <c r="A6" s="1">
        <v>5675282</v>
      </c>
      <c r="B6" s="1">
        <v>8399156</v>
      </c>
      <c r="C6" s="1">
        <v>17984770</v>
      </c>
      <c r="D6" s="1">
        <v>8299156</v>
      </c>
      <c r="E6" s="1">
        <v>464276</v>
      </c>
      <c r="F6" s="1">
        <v>12309488</v>
      </c>
      <c r="G6" s="1">
        <v>8596679</v>
      </c>
      <c r="H6">
        <f t="shared" si="0"/>
        <v>3.0554436905480218</v>
      </c>
    </row>
    <row r="7" spans="1:8" hidden="1" x14ac:dyDescent="0.25">
      <c r="A7" s="1">
        <v>5912342</v>
      </c>
      <c r="B7" s="1">
        <v>13029767</v>
      </c>
      <c r="C7" s="1">
        <v>17336875</v>
      </c>
      <c r="D7" s="1">
        <v>12929767</v>
      </c>
      <c r="E7" s="1">
        <v>170608</v>
      </c>
      <c r="F7" s="1">
        <v>11424533</v>
      </c>
      <c r="G7" s="1">
        <v>13766054</v>
      </c>
      <c r="H7">
        <f t="shared" si="0"/>
        <v>4.7247467112566817</v>
      </c>
    </row>
    <row r="8" spans="1:8" x14ac:dyDescent="0.25">
      <c r="A8" s="1">
        <v>-1273462</v>
      </c>
      <c r="B8" s="1">
        <v>2532301</v>
      </c>
      <c r="C8" s="1">
        <v>14262889</v>
      </c>
      <c r="D8" s="1">
        <v>2432301</v>
      </c>
      <c r="E8" s="1">
        <v>302741</v>
      </c>
      <c r="F8" s="1">
        <v>15536351</v>
      </c>
      <c r="G8" s="1">
        <v>3461521</v>
      </c>
      <c r="H8">
        <f t="shared" si="0"/>
        <v>0.95832447319648262</v>
      </c>
    </row>
    <row r="9" spans="1:8" hidden="1" x14ac:dyDescent="0.25">
      <c r="A9" s="1">
        <v>-2703333</v>
      </c>
      <c r="B9" s="1">
        <v>5781080</v>
      </c>
      <c r="C9" s="1">
        <v>13847753</v>
      </c>
      <c r="D9" s="1">
        <v>5681080</v>
      </c>
      <c r="E9" s="1">
        <v>144752</v>
      </c>
      <c r="F9" s="1">
        <v>16551086</v>
      </c>
      <c r="G9" s="1">
        <v>5983331</v>
      </c>
      <c r="H9">
        <f t="shared" si="0"/>
        <v>2.1409314298837483</v>
      </c>
    </row>
    <row r="10" spans="1:8" hidden="1" x14ac:dyDescent="0.25">
      <c r="A10" s="1">
        <v>11531803</v>
      </c>
      <c r="B10" s="1">
        <v>13246470</v>
      </c>
      <c r="C10" s="1">
        <v>24683986</v>
      </c>
      <c r="D10" s="1">
        <v>13146470</v>
      </c>
      <c r="E10" s="1">
        <v>303524</v>
      </c>
      <c r="F10" s="1">
        <v>13152183</v>
      </c>
      <c r="G10" s="1">
        <v>13955952</v>
      </c>
      <c r="H10">
        <f t="shared" si="0"/>
        <v>3.6481288120937547</v>
      </c>
    </row>
    <row r="11" spans="1:8" x14ac:dyDescent="0.25">
      <c r="A11" s="1">
        <v>-127677</v>
      </c>
      <c r="B11" s="1">
        <v>4905012</v>
      </c>
      <c r="C11" s="1">
        <v>20800746</v>
      </c>
      <c r="D11" s="1">
        <v>4805012</v>
      </c>
      <c r="E11" s="1">
        <v>463601</v>
      </c>
      <c r="F11" s="1">
        <v>20928423</v>
      </c>
      <c r="G11" s="1">
        <v>5554072</v>
      </c>
      <c r="H11">
        <f t="shared" si="0"/>
        <v>1.3651109228159395</v>
      </c>
    </row>
    <row r="12" spans="1:8" hidden="1" x14ac:dyDescent="0.25">
      <c r="A12" s="1">
        <v>-1120625</v>
      </c>
      <c r="B12" s="1">
        <v>9730429</v>
      </c>
      <c r="C12" s="1">
        <v>12657304</v>
      </c>
      <c r="D12" s="1">
        <v>9630429</v>
      </c>
      <c r="E12" s="1">
        <v>416987</v>
      </c>
      <c r="F12" s="1">
        <v>13777929</v>
      </c>
      <c r="G12" s="1">
        <v>10256672</v>
      </c>
      <c r="H12">
        <f t="shared" si="0"/>
        <v>4.3085418899048795</v>
      </c>
    </row>
    <row r="13" spans="1:8" hidden="1" x14ac:dyDescent="0.25">
      <c r="A13" s="1">
        <v>2649626</v>
      </c>
      <c r="B13" s="1">
        <v>5619720</v>
      </c>
      <c r="C13" s="1">
        <v>16789369</v>
      </c>
      <c r="D13" s="1">
        <v>5519720</v>
      </c>
      <c r="E13" s="1">
        <v>158010</v>
      </c>
      <c r="F13" s="1">
        <v>14139743</v>
      </c>
      <c r="G13" s="1">
        <v>5972295</v>
      </c>
      <c r="H13">
        <f t="shared" si="0"/>
        <v>2.1049706790223057</v>
      </c>
    </row>
    <row r="14" spans="1:8" x14ac:dyDescent="0.25">
      <c r="A14" s="1">
        <v>190510</v>
      </c>
      <c r="B14" s="1">
        <v>701461</v>
      </c>
      <c r="C14" s="1">
        <v>15147681</v>
      </c>
      <c r="D14" s="1">
        <v>601461</v>
      </c>
      <c r="E14" s="1">
        <v>117172</v>
      </c>
      <c r="F14" s="1">
        <v>14957171</v>
      </c>
      <c r="G14" s="1">
        <v>1071900</v>
      </c>
      <c r="H14">
        <f t="shared" si="0"/>
        <v>0.28634782144339632</v>
      </c>
    </row>
    <row r="15" spans="1:8" hidden="1" x14ac:dyDescent="0.25">
      <c r="A15" s="1">
        <v>9346037</v>
      </c>
      <c r="B15" s="1">
        <v>13186318</v>
      </c>
      <c r="C15" s="1">
        <v>19394753</v>
      </c>
      <c r="D15" s="1">
        <v>13086318</v>
      </c>
      <c r="E15" s="1">
        <v>317675</v>
      </c>
      <c r="F15" s="1">
        <v>10048716</v>
      </c>
      <c r="G15" s="1">
        <v>13907812</v>
      </c>
      <c r="H15">
        <f t="shared" si="0"/>
        <v>4.4920770429999104</v>
      </c>
    </row>
    <row r="16" spans="1:8" hidden="1" x14ac:dyDescent="0.25">
      <c r="A16" s="1">
        <v>-7959666</v>
      </c>
      <c r="B16" s="1">
        <v>8159588</v>
      </c>
      <c r="C16" s="1">
        <v>12550453</v>
      </c>
      <c r="D16" s="1">
        <v>8059588</v>
      </c>
      <c r="E16" s="1">
        <v>448773</v>
      </c>
      <c r="F16" s="1">
        <v>20510119</v>
      </c>
      <c r="G16" s="1">
        <v>8465488</v>
      </c>
      <c r="H16">
        <f t="shared" si="0"/>
        <v>2.955292013487306</v>
      </c>
    </row>
    <row r="17" spans="1:8" hidden="1" x14ac:dyDescent="0.25">
      <c r="A17" s="1">
        <v>-12912119</v>
      </c>
      <c r="B17" s="1">
        <v>8507030</v>
      </c>
      <c r="C17" s="1">
        <v>11007748</v>
      </c>
      <c r="D17" s="1">
        <v>8407030</v>
      </c>
      <c r="E17" s="1">
        <v>481935</v>
      </c>
      <c r="F17" s="1">
        <v>23919867</v>
      </c>
      <c r="G17" s="1">
        <v>9227676</v>
      </c>
      <c r="H17">
        <f t="shared" si="0"/>
        <v>3.0442208799809389</v>
      </c>
    </row>
    <row r="18" spans="1:8" x14ac:dyDescent="0.25">
      <c r="A18" s="1">
        <v>5220520</v>
      </c>
      <c r="B18" s="1">
        <v>3143929</v>
      </c>
      <c r="C18" s="1">
        <v>21746643</v>
      </c>
      <c r="D18" s="1">
        <v>3043929</v>
      </c>
      <c r="E18" s="1">
        <v>278393</v>
      </c>
      <c r="F18" s="1">
        <v>16526123</v>
      </c>
      <c r="G18" s="1">
        <v>4047922</v>
      </c>
      <c r="H18">
        <f t="shared" si="0"/>
        <v>1.1484423575551594</v>
      </c>
    </row>
    <row r="19" spans="1:8" hidden="1" x14ac:dyDescent="0.25">
      <c r="A19" s="1">
        <v>-3704886</v>
      </c>
      <c r="B19" s="1">
        <v>7581114</v>
      </c>
      <c r="C19" s="1">
        <v>20640504</v>
      </c>
      <c r="D19" s="1">
        <v>7481114</v>
      </c>
      <c r="E19" s="1">
        <v>223073</v>
      </c>
      <c r="F19" s="1">
        <v>24345390</v>
      </c>
      <c r="G19" s="1">
        <v>7889934</v>
      </c>
      <c r="H19">
        <f t="shared" si="0"/>
        <v>1.8822647010704068</v>
      </c>
    </row>
    <row r="20" spans="1:8" hidden="1" x14ac:dyDescent="0.25">
      <c r="A20" s="1">
        <v>1331058</v>
      </c>
      <c r="B20" s="1">
        <v>5193889</v>
      </c>
      <c r="C20" s="1">
        <v>15605653</v>
      </c>
      <c r="D20" s="1">
        <v>5093889</v>
      </c>
      <c r="E20" s="1">
        <v>260482</v>
      </c>
      <c r="F20" s="1">
        <v>14274595</v>
      </c>
      <c r="G20" s="1">
        <v>5580003</v>
      </c>
      <c r="H20">
        <f t="shared" si="0"/>
        <v>2.0136186252210755</v>
      </c>
    </row>
    <row r="21" spans="1:8" hidden="1" x14ac:dyDescent="0.25">
      <c r="A21" s="1">
        <v>575770</v>
      </c>
      <c r="B21" s="1">
        <v>5416779</v>
      </c>
      <c r="C21" s="1">
        <v>15557689</v>
      </c>
      <c r="D21" s="1">
        <v>5316779</v>
      </c>
      <c r="E21" s="1">
        <v>406955</v>
      </c>
      <c r="F21" s="1">
        <v>14981919</v>
      </c>
      <c r="G21" s="1">
        <v>5874074</v>
      </c>
      <c r="H21">
        <f t="shared" si="0"/>
        <v>2.0531032620885483</v>
      </c>
    </row>
  </sheetData>
  <autoFilter ref="A1:H21" xr:uid="{3254DA57-FD9A-49BE-9E94-B7E6779595FB}">
    <filterColumn colId="7">
      <customFilters>
        <customFilter operator="lessThan" val="1.81"/>
      </custom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A</vt:lpstr>
      <vt:lpstr>Feuil1</vt:lpstr>
      <vt:lpstr>SOLVEUR</vt:lpstr>
      <vt:lpstr>DONNEES des entreprises</vt:lpstr>
      <vt:lpstr>B</vt:lpstr>
      <vt:lpstr>C</vt:lpstr>
      <vt:lpstr>D</vt:lpstr>
      <vt:lpstr>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Sokhna</dc:creator>
  <cp:lastModifiedBy>3IP</cp:lastModifiedBy>
  <dcterms:created xsi:type="dcterms:W3CDTF">2020-02-19T21:19:23Z</dcterms:created>
  <dcterms:modified xsi:type="dcterms:W3CDTF">2020-02-20T17:03:29Z</dcterms:modified>
</cp:coreProperties>
</file>